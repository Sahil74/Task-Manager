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SY3PEPF00001B42\EXCELCNV\9bc1561a-0997-4303-886c-3be73862e647\"/>
    </mc:Choice>
  </mc:AlternateContent>
  <xr:revisionPtr revIDLastSave="0" documentId="8_{A122BDC2-E2BC-4ACF-9871-AB5BBFD013F7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Work Items" sheetId="1" r:id="rId1"/>
    <sheet name="DashBoard" sheetId="3" r:id="rId2"/>
    <sheet name="Names" sheetId="2" r:id="rId3"/>
  </sheets>
  <definedNames>
    <definedName name="_xlnm._FilterDatabase" localSheetId="0" hidden="1">'Work Items'!$A$1:$J$181</definedName>
  </definedNames>
  <calcPr calcId="191028"/>
  <pivotCaches>
    <pivotCache cacheId="9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20" i="2"/>
  <c r="B21" i="2"/>
  <c r="B18" i="2"/>
  <c r="A1" i="2" a="1"/>
  <c r="A1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B22" i="2" l="1"/>
  <c r="F9" i="3"/>
  <c r="L9" i="3"/>
  <c r="I9" i="3"/>
  <c r="C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<sst xmlns="http://schemas.openxmlformats.org/spreadsheetml/2006/main" count="1132" uniqueCount="380">
  <si>
    <t>Work Item ID</t>
  </si>
  <si>
    <t>Work Item</t>
  </si>
  <si>
    <t>Department</t>
  </si>
  <si>
    <t>Assigned To</t>
  </si>
  <si>
    <t>Opened Date</t>
  </si>
  <si>
    <t>Target Date</t>
  </si>
  <si>
    <t>Task Duration (days)</t>
  </si>
  <si>
    <t>Progress Status</t>
  </si>
  <si>
    <t>Overdue Flag</t>
  </si>
  <si>
    <t>Latest Note</t>
  </si>
  <si>
    <t>MKT-26-0001</t>
  </si>
  <si>
    <t>Phase 2: coordinate creative asset review</t>
  </si>
  <si>
    <t>Marketing</t>
  </si>
  <si>
    <t>Ethan Brooks</t>
  </si>
  <si>
    <t>Not Started</t>
  </si>
  <si>
    <t>Scheduled for the next planning session.</t>
  </si>
  <si>
    <t>OPS-26-0002</t>
  </si>
  <si>
    <t>Customer: review warehouse picking workflow</t>
  </si>
  <si>
    <t>Operations</t>
  </si>
  <si>
    <t>Sophie Taylor</t>
  </si>
  <si>
    <t>In Progress</t>
  </si>
  <si>
    <t>Draft prepared and awaiting feedback.</t>
  </si>
  <si>
    <t>TEC-26-0003</t>
  </si>
  <si>
    <t>Phase 2: update application support notes</t>
  </si>
  <si>
    <t>Technology</t>
  </si>
  <si>
    <t>Noah Williams</t>
  </si>
  <si>
    <t>Initial review is complete.</t>
  </si>
  <si>
    <t>FIN-26-0004</t>
  </si>
  <si>
    <t>FY27: update cash flow assumptions</t>
  </si>
  <si>
    <t>Finance</t>
  </si>
  <si>
    <t>Mia Nguyen</t>
  </si>
  <si>
    <t>A few items still need confirmation.</t>
  </si>
  <si>
    <t>MKT-26-0005</t>
  </si>
  <si>
    <t>FY27: coordinate creative asset review</t>
  </si>
  <si>
    <t>OPS-26-0006</t>
  </si>
  <si>
    <t>Customer: coordinate regional delivery schedule</t>
  </si>
  <si>
    <t>Oliver Chen</t>
  </si>
  <si>
    <t>On Hold</t>
  </si>
  <si>
    <t>Waiting for revised requirements.</t>
  </si>
  <si>
    <t>PPL-26-0007</t>
  </si>
  <si>
    <t>Monthly: update workplace policy guide</t>
  </si>
  <si>
    <t>People &amp; Culture</t>
  </si>
  <si>
    <t>Lucas Brown</t>
  </si>
  <si>
    <t>Completed</t>
  </si>
  <si>
    <t>Final version has been circulated.</t>
  </si>
  <si>
    <t>OPS-26-0008</t>
  </si>
  <si>
    <t>Internal: update stock replenishment guide</t>
  </si>
  <si>
    <t>Closed after team review.</t>
  </si>
  <si>
    <t>STR-26-0009</t>
  </si>
  <si>
    <t>Monthly: review project milestone risks</t>
  </si>
  <si>
    <t>Strategy</t>
  </si>
  <si>
    <t>CX-26-0010</t>
  </si>
  <si>
    <t>Customer: review service quality sample</t>
  </si>
  <si>
    <t>Customer Experience</t>
  </si>
  <si>
    <t>Ava Thompson</t>
  </si>
  <si>
    <t>Work is underway; next update is due shortly.</t>
  </si>
  <si>
    <t>OPS-26-0011</t>
  </si>
  <si>
    <t>Monthly: prepare weekly fulfilment summary</t>
  </si>
  <si>
    <t>Jack Patel</t>
  </si>
  <si>
    <t>TEC-26-0012</t>
  </si>
  <si>
    <t>Customer: prepare user acceptance test cases</t>
  </si>
  <si>
    <t>Deliverable accepted by the relevant lead.</t>
  </si>
  <si>
    <t>MKT-26-0013</t>
  </si>
  <si>
    <t>Customer: review campaign performance</t>
  </si>
  <si>
    <t>TEC-26-0014</t>
  </si>
  <si>
    <t>Phase 2: test reporting dashboard filters</t>
  </si>
  <si>
    <t>MKT-26-0015</t>
  </si>
  <si>
    <t>Coordinate creative asset review</t>
  </si>
  <si>
    <t>OPS-26-0016</t>
  </si>
  <si>
    <t>Internal: reorganise storage location labels</t>
  </si>
  <si>
    <t>MKT-26-0017</t>
  </si>
  <si>
    <t>Monthly: plan seasonal promotion</t>
  </si>
  <si>
    <t>Follow-up with stakeholders is planned.</t>
  </si>
  <si>
    <t>PPL-26-0018</t>
  </si>
  <si>
    <t>Monthly: collect induction feedback</t>
  </si>
  <si>
    <t>PPL-26-0019</t>
  </si>
  <si>
    <t>Customer: prepare recruitment shortlist</t>
  </si>
  <si>
    <t>Paused pending a decision from the project lead.</t>
  </si>
  <si>
    <t>MKT-26-0020</t>
  </si>
  <si>
    <t>Priya Shah</t>
  </si>
  <si>
    <t>PPL-26-0021</t>
  </si>
  <si>
    <t>Internal: collect induction feedback</t>
  </si>
  <si>
    <t>TEC-26-0022</t>
  </si>
  <si>
    <t>FY27: resolve spreadsheet validation issues</t>
  </si>
  <si>
    <t>Owner to confirm the first milestone.</t>
  </si>
  <si>
    <t>TEC-26-0023</t>
  </si>
  <si>
    <t>Customer: document database refresh process</t>
  </si>
  <si>
    <t>Amelia Wilson</t>
  </si>
  <si>
    <t>STR-26-0024</t>
  </si>
  <si>
    <t>Monthly: summarise stakeholder workshop findings</t>
  </si>
  <si>
    <t>FIN-26-0025</t>
  </si>
  <si>
    <t>Phase 2: refresh department budget tracker</t>
  </si>
  <si>
    <t>TEC-26-0026</t>
  </si>
  <si>
    <t>FY27: update system change log</t>
  </si>
  <si>
    <t>Reviewed and saved in the shared workspace.</t>
  </si>
  <si>
    <t>FIN-26-0027</t>
  </si>
  <si>
    <t>Internal: refresh department budget tracker</t>
  </si>
  <si>
    <t>OPS-26-0028</t>
  </si>
  <si>
    <t>FY27: improve returns processing steps</t>
  </si>
  <si>
    <t>TEC-26-0029</t>
  </si>
  <si>
    <t>Internal: update system change log</t>
  </si>
  <si>
    <t>OPS-26-0030</t>
  </si>
  <si>
    <t>Monthly: review warehouse picking workflow</t>
  </si>
  <si>
    <t>OPS-26-0031</t>
  </si>
  <si>
    <t>Monthly: improve returns processing steps</t>
  </si>
  <si>
    <t>TEC-26-0032</t>
  </si>
  <si>
    <t>FIN-26-0033</t>
  </si>
  <si>
    <t>FY27: check recurring software charges</t>
  </si>
  <si>
    <t>STR-26-0034</t>
  </si>
  <si>
    <t>Customer: summarise stakeholder workshop findings</t>
  </si>
  <si>
    <t>PPL-26-0035</t>
  </si>
  <si>
    <t>Organise internal learning session</t>
  </si>
  <si>
    <t>Isabella Martin</t>
  </si>
  <si>
    <t>FIN-26-0036</t>
  </si>
  <si>
    <t>Customer: confirm outstanding payment list</t>
  </si>
  <si>
    <t>Progress is being tracked in the team register.</t>
  </si>
  <si>
    <t>STR-26-0037</t>
  </si>
  <si>
    <t>Monthly: compile market trend summary</t>
  </si>
  <si>
    <t>PPL-26-0038</t>
  </si>
  <si>
    <t>Regional: collect induction feedback</t>
  </si>
  <si>
    <t>STR-26-0039</t>
  </si>
  <si>
    <t>Resourcing needs to be confirmed.</t>
  </si>
  <si>
    <t>OPS-26-0040</t>
  </si>
  <si>
    <t>Phase 2: audit order dispatch records</t>
  </si>
  <si>
    <t>PPL-26-0041</t>
  </si>
  <si>
    <t>Regional: refresh staff training register</t>
  </si>
  <si>
    <t>Checks completed; no major issues found.</t>
  </si>
  <si>
    <t>MKT-26-0042</t>
  </si>
  <si>
    <t>FY27: build customer email calendar</t>
  </si>
  <si>
    <t>MKT-26-0043</t>
  </si>
  <si>
    <t>Internal: review search advertising results</t>
  </si>
  <si>
    <t>CX-26-0044</t>
  </si>
  <si>
    <t>Customer: identify repeat contact drivers</t>
  </si>
  <si>
    <t>TEC-26-0045</t>
  </si>
  <si>
    <t>FY27: check automated report schedule</t>
  </si>
  <si>
    <t>OPS-26-0046</t>
  </si>
  <si>
    <t>Monthly: coordinate regional delivery schedule</t>
  </si>
  <si>
    <t>CX-26-0047</t>
  </si>
  <si>
    <t>FY27: analyse customer satisfaction results</t>
  </si>
  <si>
    <t>Waiting for the initial briefing.</t>
  </si>
  <si>
    <t>TEC-26-0048</t>
  </si>
  <si>
    <t>Internal: prepare user acceptance test cases</t>
  </si>
  <si>
    <t>FIN-26-0049</t>
  </si>
  <si>
    <t>Internal: check recurring software charges</t>
  </si>
  <si>
    <t>Liam Carter</t>
  </si>
  <si>
    <t>Dependencies are being checked.</t>
  </si>
  <si>
    <t>TEC-26-0050</t>
  </si>
  <si>
    <t>Customer: test reporting dashboard filters</t>
  </si>
  <si>
    <t>MKT-26-0051</t>
  </si>
  <si>
    <t>Internal: coordinate creative asset review</t>
  </si>
  <si>
    <t>STR-26-0052</t>
  </si>
  <si>
    <t>Monthly: prepare leadership briefing notes</t>
  </si>
  <si>
    <t>MKT-26-0053</t>
  </si>
  <si>
    <t>Regional: review search advertising results</t>
  </si>
  <si>
    <t>TEC-26-0054</t>
  </si>
  <si>
    <t>Monthly: resolve spreadsheet validation issues</t>
  </si>
  <si>
    <t>STR-26-0055</t>
  </si>
  <si>
    <t>Customer: update annual planning assumptions</t>
  </si>
  <si>
    <t>FIN-26-0056</t>
  </si>
  <si>
    <t>TEC-26-0057</t>
  </si>
  <si>
    <t>Customer: clean customer data extract</t>
  </si>
  <si>
    <t>MKT-26-0058</t>
  </si>
  <si>
    <t>Phase 2: analyse social engagement trends</t>
  </si>
  <si>
    <t>FIN-26-0059</t>
  </si>
  <si>
    <t>Customer: review project expenditure</t>
  </si>
  <si>
    <t>OPS-26-0060</t>
  </si>
  <si>
    <t>Phase 2: reorganise storage location labels</t>
  </si>
  <si>
    <t>PPL-26-0061</t>
  </si>
  <si>
    <t>Phase 2: coordinate team feedback survey</t>
  </si>
  <si>
    <t>STR-26-0062</t>
  </si>
  <si>
    <t>Internal: prepare leadership briefing notes</t>
  </si>
  <si>
    <t>TEC-26-0063</t>
  </si>
  <si>
    <t>Regional: update application support notes</t>
  </si>
  <si>
    <t>CX-26-0064</t>
  </si>
  <si>
    <t>Regional: review customer complaint themes</t>
  </si>
  <si>
    <t>PPL-26-0065</t>
  </si>
  <si>
    <t>Monthly: schedule onboarding sessions</t>
  </si>
  <si>
    <t>STR-26-0066</t>
  </si>
  <si>
    <t>Internal: update annual planning assumptions</t>
  </si>
  <si>
    <t>STR-26-0067</t>
  </si>
  <si>
    <t>Internal: summarise stakeholder workshop findings</t>
  </si>
  <si>
    <t>PPL-26-0068</t>
  </si>
  <si>
    <t>Prepare recruitment shortlist</t>
  </si>
  <si>
    <t>CX-26-0069</t>
  </si>
  <si>
    <t>FY27: prepare customer feedback summary</t>
  </si>
  <si>
    <t>TEC-26-0070</t>
  </si>
  <si>
    <t>TEC-26-0071</t>
  </si>
  <si>
    <t>Regional: review backup status</t>
  </si>
  <si>
    <t>PPL-26-0072</t>
  </si>
  <si>
    <t>Phase 2: prepare recruitment shortlist</t>
  </si>
  <si>
    <t>OPS-26-0073</t>
  </si>
  <si>
    <t>MKT-26-0074</t>
  </si>
  <si>
    <t>Prepare product launch brief</t>
  </si>
  <si>
    <t>STR-26-0075</t>
  </si>
  <si>
    <t>Regional: compile market trend summary</t>
  </si>
  <si>
    <t>CX-26-0076</t>
  </si>
  <si>
    <t>Internal: check unresolved support requests</t>
  </si>
  <si>
    <t>CX-26-0077</t>
  </si>
  <si>
    <t>OPS-26-0078</t>
  </si>
  <si>
    <t>Improve returns processing steps</t>
  </si>
  <si>
    <t>MKT-26-0079</t>
  </si>
  <si>
    <t>Phase 2: refresh campaign tracking sheet</t>
  </si>
  <si>
    <t>MKT-26-0080</t>
  </si>
  <si>
    <t>Internal: refresh campaign tracking sheet</t>
  </si>
  <si>
    <t>FIN-26-0081</t>
  </si>
  <si>
    <t>Phase 2: check recurring software charges</t>
  </si>
  <si>
    <t>MKT-26-0082</t>
  </si>
  <si>
    <t>Monthly: prepare product launch brief</t>
  </si>
  <si>
    <t>TEC-26-0083</t>
  </si>
  <si>
    <t>Test reporting dashboard filters</t>
  </si>
  <si>
    <t>PPL-26-0084</t>
  </si>
  <si>
    <t>FY27: review leave coverage plan</t>
  </si>
  <si>
    <t>MKT-26-0085</t>
  </si>
  <si>
    <t>Internal: update website product copy</t>
  </si>
  <si>
    <t>OPS-26-0086</t>
  </si>
  <si>
    <t>Regional: reorganise storage location labels</t>
  </si>
  <si>
    <t>MKT-26-0087</t>
  </si>
  <si>
    <t>FIN-26-0088</t>
  </si>
  <si>
    <t>Regional: refresh department budget tracker</t>
  </si>
  <si>
    <t>CX-26-0089</t>
  </si>
  <si>
    <t>Internal: review customer complaint themes</t>
  </si>
  <si>
    <t>STR-26-0090</t>
  </si>
  <si>
    <t>Monthly: review process improvement proposals</t>
  </si>
  <si>
    <t>TEC-26-0091</t>
  </si>
  <si>
    <t>Monthly: review access permissions</t>
  </si>
  <si>
    <t>PPL-26-0092</t>
  </si>
  <si>
    <t>Internal: refresh staff training register</t>
  </si>
  <si>
    <t>STR-26-0093</t>
  </si>
  <si>
    <t>Internal: review project milestone risks</t>
  </si>
  <si>
    <t>TEC-26-0094</t>
  </si>
  <si>
    <t>FY27: review access permissions</t>
  </si>
  <si>
    <t>PPL-26-0095</t>
  </si>
  <si>
    <t>Customer: coordinate team feedback survey</t>
  </si>
  <si>
    <t>CX-26-0096</t>
  </si>
  <si>
    <t>FY27: check unresolved support requests</t>
  </si>
  <si>
    <t>PPL-26-0097</t>
  </si>
  <si>
    <t>Customer: review leave coverage plan</t>
  </si>
  <si>
    <t>TEC-26-0098</t>
  </si>
  <si>
    <t>Monthly: test reporting dashboard filters</t>
  </si>
  <si>
    <t>MKT-26-0099</t>
  </si>
  <si>
    <t>Internal: review campaign performance</t>
  </si>
  <si>
    <t>PPL-26-0100</t>
  </si>
  <si>
    <t>Customer: update workplace policy guide</t>
  </si>
  <si>
    <t>STR-26-0101</t>
  </si>
  <si>
    <t>FY27: update annual planning assumptions</t>
  </si>
  <si>
    <t>TEC-26-0102</t>
  </si>
  <si>
    <t>Phase 2: review backup status</t>
  </si>
  <si>
    <t>CX-26-0103</t>
  </si>
  <si>
    <t>Phase 2: refresh help centre articles</t>
  </si>
  <si>
    <t>CX-26-0104</t>
  </si>
  <si>
    <t>Identify repeat contact drivers</t>
  </si>
  <si>
    <t>STR-26-0105</t>
  </si>
  <si>
    <t>Monthly: update annual planning assumptions</t>
  </si>
  <si>
    <t>CX-26-0106</t>
  </si>
  <si>
    <t>FY27: refresh help centre articles</t>
  </si>
  <si>
    <t>TEC-26-0107</t>
  </si>
  <si>
    <t>Internal: test reporting dashboard filters</t>
  </si>
  <si>
    <t>TEC-26-0108</t>
  </si>
  <si>
    <t>STR-26-0109</t>
  </si>
  <si>
    <t>MKT-26-0110</t>
  </si>
  <si>
    <t>Analyse social engagement trends</t>
  </si>
  <si>
    <t>CX-26-0111</t>
  </si>
  <si>
    <t>STR-26-0112</t>
  </si>
  <si>
    <t>Internal: compare competitor service offers</t>
  </si>
  <si>
    <t>OPS-26-0113</t>
  </si>
  <si>
    <t>OPS-26-0114</t>
  </si>
  <si>
    <t>Regional: update stock replenishment guide</t>
  </si>
  <si>
    <t>CX-26-0115</t>
  </si>
  <si>
    <t>Monthly: review service quality sample</t>
  </si>
  <si>
    <t>OPS-26-0116</t>
  </si>
  <si>
    <t>FIN-26-0117</t>
  </si>
  <si>
    <t>FY27: refresh department budget tracker</t>
  </si>
  <si>
    <t>TEC-26-0118</t>
  </si>
  <si>
    <t>Internal: document database refresh process</t>
  </si>
  <si>
    <t>STR-26-0119</t>
  </si>
  <si>
    <t>OPS-26-0120</t>
  </si>
  <si>
    <t>Phase 2: coordinate regional delivery schedule</t>
  </si>
  <si>
    <t>STR-26-0121</t>
  </si>
  <si>
    <t>Regional: prepare leadership briefing notes</t>
  </si>
  <si>
    <t>TEC-26-0122</t>
  </si>
  <si>
    <t>Regional: review access permissions</t>
  </si>
  <si>
    <t>CX-26-0123</t>
  </si>
  <si>
    <t>Internal: identify repeat contact drivers</t>
  </si>
  <si>
    <t>MKT-26-0124</t>
  </si>
  <si>
    <t>FY27: analyse social engagement trends</t>
  </si>
  <si>
    <t>CX-26-0125</t>
  </si>
  <si>
    <t>Review customer complaint themes</t>
  </si>
  <si>
    <t>STR-26-0126</t>
  </si>
  <si>
    <t>OPS-26-0127</t>
  </si>
  <si>
    <t>FIN-26-0128</t>
  </si>
  <si>
    <t>Customer: update cash flow assumptions</t>
  </si>
  <si>
    <t>PPL-26-0129</t>
  </si>
  <si>
    <t>Monthly: check employee records</t>
  </si>
  <si>
    <t>PPL-26-0130</t>
  </si>
  <si>
    <t>FY27: update workplace policy guide</t>
  </si>
  <si>
    <t>TEC-26-0131</t>
  </si>
  <si>
    <t>Regional: check automated report schedule</t>
  </si>
  <si>
    <t>OPS-26-0132</t>
  </si>
  <si>
    <t>Internal: improve returns processing steps</t>
  </si>
  <si>
    <t>PPL-26-0133</t>
  </si>
  <si>
    <t>MKT-26-0134</t>
  </si>
  <si>
    <t>Monthly: analyse social engagement trends</t>
  </si>
  <si>
    <t>MKT-26-0135</t>
  </si>
  <si>
    <t>Phase 2: build customer email calendar</t>
  </si>
  <si>
    <t>FIN-26-0136</t>
  </si>
  <si>
    <t>Update cash flow assumptions</t>
  </si>
  <si>
    <t>FIN-26-0137</t>
  </si>
  <si>
    <t>MKT-26-0138</t>
  </si>
  <si>
    <t>STR-26-0139</t>
  </si>
  <si>
    <t>Internal: review process improvement proposals</t>
  </si>
  <si>
    <t>OPS-26-0140</t>
  </si>
  <si>
    <t>MKT-26-0141</t>
  </si>
  <si>
    <t>Monthly: update website product copy</t>
  </si>
  <si>
    <t>OPS-26-0142</t>
  </si>
  <si>
    <t>Coordinate regional delivery schedule</t>
  </si>
  <si>
    <t>FIN-26-0143</t>
  </si>
  <si>
    <t>Customer: check recurring software charges</t>
  </si>
  <si>
    <t>FIN-26-0144</t>
  </si>
  <si>
    <t>Internal: review project expenditure</t>
  </si>
  <si>
    <t>STR-26-0145</t>
  </si>
  <si>
    <t>PPL-26-0146</t>
  </si>
  <si>
    <t>PPL-26-0147</t>
  </si>
  <si>
    <t>TEC-26-0148</t>
  </si>
  <si>
    <t>STR-26-0149</t>
  </si>
  <si>
    <t>MKT-26-0150</t>
  </si>
  <si>
    <t>OPS-26-0151</t>
  </si>
  <si>
    <t>Customer: update stock replenishment guide</t>
  </si>
  <si>
    <t>STR-26-0152</t>
  </si>
  <si>
    <t>OPS-26-0153</t>
  </si>
  <si>
    <t>Audit order dispatch records</t>
  </si>
  <si>
    <t>PPL-26-0154</t>
  </si>
  <si>
    <t>CX-26-0155</t>
  </si>
  <si>
    <t>PPL-26-0156</t>
  </si>
  <si>
    <t>Phase 2: check employee records</t>
  </si>
  <si>
    <t>FIN-26-0157</t>
  </si>
  <si>
    <t>Customer: validate purchase order records</t>
  </si>
  <si>
    <t>OPS-26-0158</t>
  </si>
  <si>
    <t>FY27: coordinate regional delivery schedule</t>
  </si>
  <si>
    <t>FIN-26-0159</t>
  </si>
  <si>
    <t>Monthly: reconcile monthly supplier invoices</t>
  </si>
  <si>
    <t>STR-26-0160</t>
  </si>
  <si>
    <t>Phase 2: update annual planning assumptions</t>
  </si>
  <si>
    <t>PPL-26-0161</t>
  </si>
  <si>
    <t>Monthly: review leave coverage plan</t>
  </si>
  <si>
    <t>OPS-26-0162</t>
  </si>
  <si>
    <t>Monthly: document packing quality standards</t>
  </si>
  <si>
    <t>MKT-26-0163</t>
  </si>
  <si>
    <t>FY27: draft customer newsletter</t>
  </si>
  <si>
    <t>TEC-26-0164</t>
  </si>
  <si>
    <t>Internal: resolve spreadsheet validation issues</t>
  </si>
  <si>
    <t>CX-26-0165</t>
  </si>
  <si>
    <t>MKT-26-0166</t>
  </si>
  <si>
    <t>Refresh campaign tracking sheet</t>
  </si>
  <si>
    <t>TEC-26-0167</t>
  </si>
  <si>
    <t>STR-26-0168</t>
  </si>
  <si>
    <t>OPS-26-0169</t>
  </si>
  <si>
    <t>FY27: audit order dispatch records</t>
  </si>
  <si>
    <t>STR-26-0170</t>
  </si>
  <si>
    <t>FY27: compare competitor service offers</t>
  </si>
  <si>
    <t>Blocked by an external dependency.</t>
  </si>
  <si>
    <t>PPL-26-0171</t>
  </si>
  <si>
    <t>Monthly: plan quarterly recognition activity</t>
  </si>
  <si>
    <t>TEC-26-0172</t>
  </si>
  <si>
    <t>CX-26-0173</t>
  </si>
  <si>
    <t>FY27: identify repeat contact drivers</t>
  </si>
  <si>
    <t>STR-26-0174</t>
  </si>
  <si>
    <t>PPL-26-0175</t>
  </si>
  <si>
    <t>Phase 2: collect induction feedback</t>
  </si>
  <si>
    <t>FIN-26-0176</t>
  </si>
  <si>
    <t>TEC-26-0177</t>
  </si>
  <si>
    <t>Clean customer data extract</t>
  </si>
  <si>
    <t>FIN-26-0178</t>
  </si>
  <si>
    <t>TEC-26-0179</t>
  </si>
  <si>
    <t>MKT-26-0180</t>
  </si>
  <si>
    <t>Total Work Iteams</t>
  </si>
  <si>
    <t>Count</t>
  </si>
  <si>
    <t>Not started</t>
  </si>
  <si>
    <t>Total</t>
  </si>
  <si>
    <t>Count of Work Item 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</si>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</sst>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&quot; Days&quot;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97D"/>
      <name val="Cambria"/>
      <scheme val="major"/>
    </font>
    <font>
      <b/>
      <sz val="26"/>
      <color theme="3"/>
      <name val="Cambria"/>
      <scheme val="major"/>
    </font>
    <font>
      <b/>
      <sz val="18"/>
      <color theme="3"/>
      <name val="Cambria"/>
      <scheme val="major"/>
    </font>
  </fonts>
  <fills count="8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D4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1" fillId="2" borderId="1" xfId="0" applyNumberFormat="1" applyFont="1" applyFill="1" applyBorder="1" applyAlignment="1">
      <alignment vertical="center" wrapText="1"/>
    </xf>
    <xf numFmtId="164" fontId="0" fillId="0" borderId="0" xfId="0" applyNumberFormat="1" applyAlignment="1">
      <alignment vertical="top"/>
    </xf>
    <xf numFmtId="164" fontId="0" fillId="0" borderId="0" xfId="0" applyNumberFormat="1"/>
    <xf numFmtId="14" fontId="1" fillId="2" borderId="1" xfId="0" applyNumberFormat="1" applyFont="1" applyFill="1" applyBorder="1" applyAlignment="1">
      <alignment vertical="center" wrapText="1"/>
    </xf>
    <xf numFmtId="14" fontId="0" fillId="0" borderId="0" xfId="0" applyNumberFormat="1" applyAlignment="1">
      <alignment vertical="top"/>
    </xf>
    <xf numFmtId="14" fontId="0" fillId="0" borderId="0" xfId="0" applyNumberFormat="1"/>
    <xf numFmtId="0" fontId="2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left"/>
    </xf>
    <xf numFmtId="0" fontId="2" fillId="5" borderId="0" xfId="0" applyFont="1" applyFill="1"/>
    <xf numFmtId="0" fontId="3" fillId="5" borderId="0" xfId="0" applyFont="1" applyFill="1" applyAlignment="1">
      <alignment horizontal="left"/>
    </xf>
    <xf numFmtId="0" fontId="0" fillId="5" borderId="0" xfId="0" applyFill="1"/>
    <xf numFmtId="0" fontId="0" fillId="7" borderId="0" xfId="0" applyFill="1"/>
    <xf numFmtId="0" fontId="3" fillId="7" borderId="0" xfId="0" applyFont="1" applyFill="1" applyAlignment="1">
      <alignment horizontal="left"/>
    </xf>
    <xf numFmtId="0" fontId="0" fillId="6" borderId="0" xfId="0" applyFill="1"/>
    <xf numFmtId="0" fontId="4" fillId="6" borderId="0" xfId="0" applyFont="1" applyFill="1"/>
    <xf numFmtId="0" fontId="3" fillId="6" borderId="0" xfId="0" applyFont="1" applyFill="1" applyAlignment="1">
      <alignment horizontal="left"/>
    </xf>
    <xf numFmtId="0" fontId="2" fillId="7" borderId="0" xfId="0" applyFont="1" applyFill="1"/>
    <xf numFmtId="0" fontId="0" fillId="0" borderId="0" xfId="0" pivotButton="1"/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colors>
    <mruColors>
      <color rgb="FFFFFFD4"/>
      <color rgb="FFFFF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[Task-manager.xlsx]Names!PivotTable1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Iteams by Status</a:t>
            </a:r>
          </a:p>
        </c:rich>
      </c:tx>
      <c:layout>
        <c:manualLayout>
          <c:xMode val="edge"/>
          <c:yMode val="edge"/>
          <c:x val="0.27596610165191976"/>
          <c:y val="1.878542424221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5D9F1"/>
          </a:solidFill>
          <a:ln w="25400"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33C"/>
          </a:solidFill>
          <a:ln w="25400">
            <a:noFill/>
          </a:ln>
          <a:effectLst/>
        </c:spPr>
      </c:pivotFmt>
      <c:pivotFmt>
        <c:idx val="2"/>
        <c:spPr>
          <a:solidFill>
            <a:srgbClr val="538DD5"/>
          </a:solidFill>
          <a:ln w="25400">
            <a:noFill/>
          </a:ln>
          <a:effectLst/>
        </c:spPr>
      </c:pivotFmt>
      <c:pivotFmt>
        <c:idx val="3"/>
        <c:spPr>
          <a:solidFill>
            <a:srgbClr val="E26B0A"/>
          </a:solidFill>
          <a:ln w="25400">
            <a:noFill/>
          </a:ln>
          <a:effectLst/>
        </c:spPr>
      </c:pivotFmt>
      <c:pivotFmt>
        <c:idx val="4"/>
        <c:spPr>
          <a:solidFill>
            <a:srgbClr val="C5D9F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6933C"/>
          </a:solidFill>
          <a:ln w="25400">
            <a:noFill/>
          </a:ln>
          <a:effectLst/>
        </c:spPr>
      </c:pivotFmt>
      <c:pivotFmt>
        <c:idx val="6"/>
        <c:spPr>
          <a:solidFill>
            <a:srgbClr val="538DD5"/>
          </a:solidFill>
          <a:ln w="25400">
            <a:noFill/>
          </a:ln>
          <a:effectLst/>
        </c:spPr>
      </c:pivotFmt>
      <c:pivotFmt>
        <c:idx val="7"/>
        <c:spPr>
          <a:solidFill>
            <a:srgbClr val="E26B0A"/>
          </a:solidFill>
          <a:ln w="25400">
            <a:noFill/>
          </a:ln>
          <a:effectLst/>
        </c:spPr>
      </c:pivotFmt>
      <c:pivotFmt>
        <c:idx val="8"/>
        <c:spPr>
          <a:solidFill>
            <a:srgbClr val="C5D9F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6933C"/>
          </a:solidFill>
          <a:ln w="25400">
            <a:noFill/>
          </a:ln>
          <a:effectLst/>
        </c:spPr>
      </c:pivotFmt>
      <c:pivotFmt>
        <c:idx val="10"/>
        <c:spPr>
          <a:solidFill>
            <a:srgbClr val="538DD5"/>
          </a:solidFill>
          <a:ln w="25400">
            <a:noFill/>
          </a:ln>
          <a:effectLst/>
        </c:spPr>
      </c:pivotFmt>
      <c:pivotFmt>
        <c:idx val="11"/>
        <c:spPr>
          <a:solidFill>
            <a:srgbClr val="E26B0A"/>
          </a:solidFill>
          <a:ln w="25400">
            <a:noFill/>
          </a:ln>
          <a:effectLst/>
        </c:spPr>
      </c:pivotFmt>
      <c:pivotFmt>
        <c:idx val="12"/>
        <c:spPr>
          <a:solidFill>
            <a:srgbClr val="C5D9F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6933C"/>
          </a:solidFill>
          <a:ln w="25400">
            <a:noFill/>
          </a:ln>
          <a:effectLst/>
        </c:spPr>
      </c:pivotFmt>
      <c:pivotFmt>
        <c:idx val="14"/>
        <c:spPr>
          <a:solidFill>
            <a:srgbClr val="538DD5"/>
          </a:solidFill>
          <a:ln w="25400">
            <a:noFill/>
          </a:ln>
          <a:effectLst/>
        </c:spPr>
      </c:pivotFmt>
      <c:pivotFmt>
        <c:idx val="15"/>
        <c:spPr>
          <a:solidFill>
            <a:srgbClr val="E26B0A"/>
          </a:solidFill>
          <a:ln w="25400">
            <a:noFill/>
          </a:ln>
          <a:effectLst/>
        </c:spPr>
      </c:pivotFmt>
      <c:pivotFmt>
        <c:idx val="16"/>
        <c:spPr>
          <a:solidFill>
            <a:srgbClr val="C5D9F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76933C"/>
          </a:solidFill>
          <a:ln w="25400">
            <a:noFill/>
          </a:ln>
          <a:effectLst/>
        </c:spPr>
      </c:pivotFmt>
      <c:pivotFmt>
        <c:idx val="18"/>
        <c:spPr>
          <a:solidFill>
            <a:srgbClr val="538DD5"/>
          </a:solidFill>
          <a:ln w="25400">
            <a:noFill/>
          </a:ln>
          <a:effectLst/>
        </c:spPr>
      </c:pivotFmt>
      <c:pivotFmt>
        <c:idx val="19"/>
        <c:spPr>
          <a:solidFill>
            <a:srgbClr val="E26B0A"/>
          </a:solidFill>
          <a:ln w="25400"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Names!$B$26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F65-410A-8272-D6AB18366C1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F65-410A-8272-D6AB18366C1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F65-410A-8272-D6AB18366C10}"/>
              </c:ext>
            </c:extLst>
          </c:dPt>
          <c:cat>
            <c:strRef>
              <c:f>Names!$A$27:$A$31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On Hold</c:v>
                </c:pt>
              </c:strCache>
            </c:strRef>
          </c:cat>
          <c:val>
            <c:numRef>
              <c:f>Names!$B$27:$B$31</c:f>
              <c:numCache>
                <c:formatCode>General</c:formatCode>
                <c:ptCount val="4"/>
                <c:pt idx="0">
                  <c:v>51</c:v>
                </c:pt>
                <c:pt idx="1">
                  <c:v>82</c:v>
                </c:pt>
                <c:pt idx="2">
                  <c:v>29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65-410A-8272-D6AB18366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526280"/>
        <c:axId val="681528328"/>
      </c:barChart>
      <c:catAx>
        <c:axId val="68152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28328"/>
        <c:crosses val="autoZero"/>
        <c:auto val="1"/>
        <c:lblAlgn val="ctr"/>
        <c:lblOffset val="100"/>
        <c:noMultiLvlLbl val="0"/>
      </c:catAx>
      <c:valAx>
        <c:axId val="68152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2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[Task-manager.xlsx]Names!PivotTable2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Workload Volume</a:t>
            </a:r>
          </a:p>
        </c:rich>
      </c:tx>
      <c:layout>
        <c:manualLayout>
          <c:xMode val="edge"/>
          <c:yMode val="edge"/>
          <c:x val="0.27201551649305555"/>
          <c:y val="2.886284722222222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Names!$B$35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A6-441E-9474-2CB7AE97E5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A6-441E-9474-2CB7AE97E5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A6-441E-9474-2CB7AE97E5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A6-441E-9474-2CB7AE97E5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A6-441E-9474-2CB7AE97E5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A6-441E-9474-2CB7AE97E5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1A6-441E-9474-2CB7AE97E53C}"/>
              </c:ext>
            </c:extLst>
          </c:dPt>
          <c:cat>
            <c:strRef>
              <c:f>Names!$A$36:$A$43</c:f>
              <c:strCache>
                <c:ptCount val="7"/>
                <c:pt idx="0">
                  <c:v>Customer Experience</c:v>
                </c:pt>
                <c:pt idx="1">
                  <c:v>Finance</c:v>
                </c:pt>
                <c:pt idx="2">
                  <c:v>Marketing</c:v>
                </c:pt>
                <c:pt idx="3">
                  <c:v>Operations</c:v>
                </c:pt>
                <c:pt idx="4">
                  <c:v>People &amp; Culture</c:v>
                </c:pt>
                <c:pt idx="5">
                  <c:v>Strategy</c:v>
                </c:pt>
                <c:pt idx="6">
                  <c:v>Technology</c:v>
                </c:pt>
              </c:strCache>
            </c:strRef>
          </c:cat>
          <c:val>
            <c:numRef>
              <c:f>Names!$B$36:$B$43</c:f>
              <c:numCache>
                <c:formatCode>General</c:formatCode>
                <c:ptCount val="7"/>
                <c:pt idx="0">
                  <c:v>19</c:v>
                </c:pt>
                <c:pt idx="1">
                  <c:v>20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28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1A6-441E-9474-2CB7AE97E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[Task-manager.xlsx]Names!PivotTable3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Assignees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Names!$B$47:$B$48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Names!$A$49:$A$54</c:f>
              <c:strCache>
                <c:ptCount val="5"/>
                <c:pt idx="0">
                  <c:v>Amelia Wilson</c:v>
                </c:pt>
                <c:pt idx="1">
                  <c:v>Ethan Brooks</c:v>
                </c:pt>
                <c:pt idx="2">
                  <c:v>Liam Carter</c:v>
                </c:pt>
                <c:pt idx="3">
                  <c:v>Priya Shah</c:v>
                </c:pt>
                <c:pt idx="4">
                  <c:v>Isabella Martin</c:v>
                </c:pt>
              </c:strCache>
            </c:strRef>
          </c:cat>
          <c:val>
            <c:numRef>
              <c:f>Names!$B$49:$B$54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9-413E-A5B3-899FEF8C74A5}"/>
            </c:ext>
          </c:extLst>
        </c:ser>
        <c:ser>
          <c:idx val="1"/>
          <c:order val="1"/>
          <c:tx>
            <c:strRef>
              <c:f>Names!$C$47:$C$48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Names!$A$49:$A$54</c:f>
              <c:strCache>
                <c:ptCount val="5"/>
                <c:pt idx="0">
                  <c:v>Amelia Wilson</c:v>
                </c:pt>
                <c:pt idx="1">
                  <c:v>Ethan Brooks</c:v>
                </c:pt>
                <c:pt idx="2">
                  <c:v>Liam Carter</c:v>
                </c:pt>
                <c:pt idx="3">
                  <c:v>Priya Shah</c:v>
                </c:pt>
                <c:pt idx="4">
                  <c:v>Isabella Martin</c:v>
                </c:pt>
              </c:strCache>
            </c:strRef>
          </c:cat>
          <c:val>
            <c:numRef>
              <c:f>Names!$C$49:$C$54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29-413E-A5B3-899FEF8C74A5}"/>
            </c:ext>
          </c:extLst>
        </c:ser>
        <c:ser>
          <c:idx val="2"/>
          <c:order val="2"/>
          <c:tx>
            <c:strRef>
              <c:f>Names!$D$47:$D$48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Names!$A$49:$A$54</c:f>
              <c:strCache>
                <c:ptCount val="5"/>
                <c:pt idx="0">
                  <c:v>Amelia Wilson</c:v>
                </c:pt>
                <c:pt idx="1">
                  <c:v>Ethan Brooks</c:v>
                </c:pt>
                <c:pt idx="2">
                  <c:v>Liam Carter</c:v>
                </c:pt>
                <c:pt idx="3">
                  <c:v>Priya Shah</c:v>
                </c:pt>
                <c:pt idx="4">
                  <c:v>Isabella Martin</c:v>
                </c:pt>
              </c:strCache>
            </c:strRef>
          </c:cat>
          <c:val>
            <c:numRef>
              <c:f>Names!$D$49:$D$54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29-413E-A5B3-899FEF8C74A5}"/>
            </c:ext>
          </c:extLst>
        </c:ser>
        <c:ser>
          <c:idx val="3"/>
          <c:order val="3"/>
          <c:tx>
            <c:strRef>
              <c:f>Names!$E$47:$E$48</c:f>
              <c:strCache>
                <c:ptCount val="1"/>
                <c:pt idx="0">
                  <c:v>On Hold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Names!$A$49:$A$54</c:f>
              <c:strCache>
                <c:ptCount val="5"/>
                <c:pt idx="0">
                  <c:v>Amelia Wilson</c:v>
                </c:pt>
                <c:pt idx="1">
                  <c:v>Ethan Brooks</c:v>
                </c:pt>
                <c:pt idx="2">
                  <c:v>Liam Carter</c:v>
                </c:pt>
                <c:pt idx="3">
                  <c:v>Priya Shah</c:v>
                </c:pt>
                <c:pt idx="4">
                  <c:v>Isabella Martin</c:v>
                </c:pt>
              </c:strCache>
            </c:strRef>
          </c:cat>
          <c:val>
            <c:numRef>
              <c:f>Names!$E$49:$E$54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29-413E-A5B3-899FEF8C7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1694216"/>
        <c:axId val="681731592"/>
      </c:barChart>
      <c:catAx>
        <c:axId val="681694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731592"/>
        <c:crosses val="autoZero"/>
        <c:auto val="1"/>
        <c:lblAlgn val="ctr"/>
        <c:lblOffset val="100"/>
        <c:noMultiLvlLbl val="0"/>
      </c:catAx>
      <c:valAx>
        <c:axId val="68173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9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[Task-manager.xlsx]Names!PivotTable1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Iteams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5D9F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33C"/>
          </a:solidFill>
          <a:ln w="25400">
            <a:noFill/>
          </a:ln>
          <a:effectLst/>
        </c:spPr>
      </c:pivotFmt>
      <c:pivotFmt>
        <c:idx val="2"/>
        <c:spPr>
          <a:solidFill>
            <a:srgbClr val="538DD5"/>
          </a:solidFill>
          <a:ln w="25400">
            <a:noFill/>
          </a:ln>
          <a:effectLst/>
        </c:spPr>
      </c:pivotFmt>
      <c:pivotFmt>
        <c:idx val="3"/>
        <c:spPr>
          <a:solidFill>
            <a:srgbClr val="E26B0A"/>
          </a:solidFill>
          <a:ln w="25400"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Names!$B$26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5D9F1"/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6933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29-4C9F-8B43-9F4C74DCCB76}"/>
              </c:ext>
            </c:extLst>
          </c:dPt>
          <c:dPt>
            <c:idx val="1"/>
            <c:invertIfNegative val="0"/>
            <c:bubble3D val="0"/>
            <c:spPr>
              <a:solidFill>
                <a:srgbClr val="538DD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29-4C9F-8B43-9F4C74DCCB76}"/>
              </c:ext>
            </c:extLst>
          </c:dPt>
          <c:dPt>
            <c:idx val="2"/>
            <c:invertIfNegative val="0"/>
            <c:bubble3D val="0"/>
            <c:spPr>
              <a:solidFill>
                <a:srgbClr val="E26B0A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B29-4C9F-8B43-9F4C74DCCB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497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Names!$A$27:$A$31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On Hold</c:v>
                </c:pt>
              </c:strCache>
            </c:strRef>
          </c:cat>
          <c:val>
            <c:numRef>
              <c:f>Names!$B$27:$B$31</c:f>
              <c:numCache>
                <c:formatCode>General</c:formatCode>
                <c:ptCount val="4"/>
                <c:pt idx="0">
                  <c:v>51</c:v>
                </c:pt>
                <c:pt idx="1">
                  <c:v>82</c:v>
                </c:pt>
                <c:pt idx="2">
                  <c:v>29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9-4C9F-8B43-9F4C74DC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526280"/>
        <c:axId val="681528328"/>
      </c:barChart>
      <c:catAx>
        <c:axId val="68152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28328"/>
        <c:crosses val="autoZero"/>
        <c:auto val="1"/>
        <c:lblAlgn val="ctr"/>
        <c:lblOffset val="100"/>
        <c:noMultiLvlLbl val="0"/>
      </c:catAx>
      <c:valAx>
        <c:axId val="68152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2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[Task-manager.xlsx]Names!PivotTable2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Workload Volume</a:t>
            </a:r>
          </a:p>
        </c:rich>
      </c:tx>
      <c:layout>
        <c:manualLayout>
          <c:xMode val="edge"/>
          <c:yMode val="edge"/>
          <c:x val="0.27201551649305555"/>
          <c:y val="2.8862847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Names!$B$35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11-4B15-9020-8A4F958B5D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11-4B15-9020-8A4F958B5D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11-4B15-9020-8A4F958B5D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11-4B15-9020-8A4F958B5D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11-4B15-9020-8A4F958B5D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11-4B15-9020-8A4F958B5DB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211-4B15-9020-8A4F958B5D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Names!$A$36:$A$43</c:f>
              <c:strCache>
                <c:ptCount val="7"/>
                <c:pt idx="0">
                  <c:v>Customer Experience</c:v>
                </c:pt>
                <c:pt idx="1">
                  <c:v>Finance</c:v>
                </c:pt>
                <c:pt idx="2">
                  <c:v>Marketing</c:v>
                </c:pt>
                <c:pt idx="3">
                  <c:v>Operations</c:v>
                </c:pt>
                <c:pt idx="4">
                  <c:v>People &amp; Culture</c:v>
                </c:pt>
                <c:pt idx="5">
                  <c:v>Strategy</c:v>
                </c:pt>
                <c:pt idx="6">
                  <c:v>Technology</c:v>
                </c:pt>
              </c:strCache>
            </c:strRef>
          </c:cat>
          <c:val>
            <c:numRef>
              <c:f>Names!$B$36:$B$43</c:f>
              <c:numCache>
                <c:formatCode>General</c:formatCode>
                <c:ptCount val="7"/>
                <c:pt idx="0">
                  <c:v>19</c:v>
                </c:pt>
                <c:pt idx="1">
                  <c:v>20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28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6-4E30-A3AB-69788920B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[Task-manager.xlsx]Names!PivotTable3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Assignees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Names!$B$47:$B$48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Names!$A$49:$A$54</c:f>
              <c:strCache>
                <c:ptCount val="5"/>
                <c:pt idx="0">
                  <c:v>Amelia Wilson</c:v>
                </c:pt>
                <c:pt idx="1">
                  <c:v>Ethan Brooks</c:v>
                </c:pt>
                <c:pt idx="2">
                  <c:v>Liam Carter</c:v>
                </c:pt>
                <c:pt idx="3">
                  <c:v>Priya Shah</c:v>
                </c:pt>
                <c:pt idx="4">
                  <c:v>Isabella Martin</c:v>
                </c:pt>
              </c:strCache>
            </c:strRef>
          </c:cat>
          <c:val>
            <c:numRef>
              <c:f>Names!$B$49:$B$54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D-4F4A-97F4-4B63C45042A2}"/>
            </c:ext>
          </c:extLst>
        </c:ser>
        <c:ser>
          <c:idx val="1"/>
          <c:order val="1"/>
          <c:tx>
            <c:strRef>
              <c:f>Names!$C$47:$C$48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Names!$A$49:$A$54</c:f>
              <c:strCache>
                <c:ptCount val="5"/>
                <c:pt idx="0">
                  <c:v>Amelia Wilson</c:v>
                </c:pt>
                <c:pt idx="1">
                  <c:v>Ethan Brooks</c:v>
                </c:pt>
                <c:pt idx="2">
                  <c:v>Liam Carter</c:v>
                </c:pt>
                <c:pt idx="3">
                  <c:v>Priya Shah</c:v>
                </c:pt>
                <c:pt idx="4">
                  <c:v>Isabella Martin</c:v>
                </c:pt>
              </c:strCache>
            </c:strRef>
          </c:cat>
          <c:val>
            <c:numRef>
              <c:f>Names!$C$49:$C$54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CD-4F4A-97F4-4B63C45042A2}"/>
            </c:ext>
          </c:extLst>
        </c:ser>
        <c:ser>
          <c:idx val="2"/>
          <c:order val="2"/>
          <c:tx>
            <c:strRef>
              <c:f>Names!$D$47:$D$48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Names!$A$49:$A$54</c:f>
              <c:strCache>
                <c:ptCount val="5"/>
                <c:pt idx="0">
                  <c:v>Amelia Wilson</c:v>
                </c:pt>
                <c:pt idx="1">
                  <c:v>Ethan Brooks</c:v>
                </c:pt>
                <c:pt idx="2">
                  <c:v>Liam Carter</c:v>
                </c:pt>
                <c:pt idx="3">
                  <c:v>Priya Shah</c:v>
                </c:pt>
                <c:pt idx="4">
                  <c:v>Isabella Martin</c:v>
                </c:pt>
              </c:strCache>
            </c:strRef>
          </c:cat>
          <c:val>
            <c:numRef>
              <c:f>Names!$D$49:$D$54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CD-4F4A-97F4-4B63C45042A2}"/>
            </c:ext>
          </c:extLst>
        </c:ser>
        <c:ser>
          <c:idx val="3"/>
          <c:order val="3"/>
          <c:tx>
            <c:strRef>
              <c:f>Names!$E$47:$E$48</c:f>
              <c:strCache>
                <c:ptCount val="1"/>
                <c:pt idx="0">
                  <c:v>On Hold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Names!$A$49:$A$54</c:f>
              <c:strCache>
                <c:ptCount val="5"/>
                <c:pt idx="0">
                  <c:v>Amelia Wilson</c:v>
                </c:pt>
                <c:pt idx="1">
                  <c:v>Ethan Brooks</c:v>
                </c:pt>
                <c:pt idx="2">
                  <c:v>Liam Carter</c:v>
                </c:pt>
                <c:pt idx="3">
                  <c:v>Priya Shah</c:v>
                </c:pt>
                <c:pt idx="4">
                  <c:v>Isabella Martin</c:v>
                </c:pt>
              </c:strCache>
            </c:strRef>
          </c:cat>
          <c:val>
            <c:numRef>
              <c:f>Names!$E$49:$E$54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CD-4F4A-97F4-4B63C4504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1694216"/>
        <c:axId val="681731592"/>
      </c:barChart>
      <c:catAx>
        <c:axId val="681694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731592"/>
        <c:crosses val="autoZero"/>
        <c:auto val="1"/>
        <c:lblAlgn val="ctr"/>
        <c:lblOffset val="100"/>
        <c:noMultiLvlLbl val="0"/>
      </c:catAx>
      <c:valAx>
        <c:axId val="68173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9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12</xdr:col>
      <xdr:colOff>0</xdr:colOff>
      <xdr:row>5</xdr:row>
      <xdr:rowOff>19050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874D960-1EEC-4CAE-9BD0-A497598B7D5F}"/>
            </a:ext>
          </a:extLst>
        </xdr:cNvPr>
        <xdr:cNvSpPr/>
      </xdr:nvSpPr>
      <xdr:spPr>
        <a:xfrm>
          <a:off x="609600" y="95250"/>
          <a:ext cx="12592050" cy="876300"/>
        </a:xfrm>
        <a:prstGeom prst="roundRect">
          <a:avLst/>
        </a:prstGeom>
        <a:solidFill>
          <a:schemeClr val="accent1">
            <a:lumMod val="50000"/>
          </a:schemeClr>
        </a:solidFill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48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466725</xdr:colOff>
      <xdr:row>1</xdr:row>
      <xdr:rowOff>85725</xdr:rowOff>
    </xdr:from>
    <xdr:to>
      <xdr:col>11</xdr:col>
      <xdr:colOff>2247900</xdr:colOff>
      <xdr:row>3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C7E88C-6DA8-4E06-9B0E-0CCDF2D39F8E}"/>
            </a:ext>
            <a:ext uri="{147F2762-F138-4A5C-976F-8EAC2B608ADB}">
              <a16:predDERef xmlns:a16="http://schemas.microsoft.com/office/drawing/2014/main" pred="{F874D960-1EEC-4CAE-9BD0-A497598B7D5F}"/>
            </a:ext>
          </a:extLst>
        </xdr:cNvPr>
        <xdr:cNvSpPr txBox="1"/>
      </xdr:nvSpPr>
      <xdr:spPr>
        <a:xfrm>
          <a:off x="1657350" y="276225"/>
          <a:ext cx="11744325" cy="4381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800">
              <a:solidFill>
                <a:schemeClr val="bg1"/>
              </a:solidFill>
              <a:latin typeface="Bookman Old Style" panose="02050604050505020204" pitchFamily="18" charset="0"/>
            </a:rPr>
            <a:t>TASK MANAGER</a:t>
          </a:r>
        </a:p>
      </xdr:txBody>
    </xdr:sp>
    <xdr:clientData/>
  </xdr:twoCellAnchor>
  <xdr:twoCellAnchor>
    <xdr:from>
      <xdr:col>1</xdr:col>
      <xdr:colOff>9525</xdr:colOff>
      <xdr:row>11</xdr:row>
      <xdr:rowOff>133350</xdr:rowOff>
    </xdr:from>
    <xdr:to>
      <xdr:col>5</xdr:col>
      <xdr:colOff>161925</xdr:colOff>
      <xdr:row>26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C52011-A895-4196-9629-C2038E0AC6A6}"/>
            </a:ext>
            <a:ext uri="{147F2762-F138-4A5C-976F-8EAC2B608ADB}">
              <a16:predDERef xmlns:a16="http://schemas.microsoft.com/office/drawing/2014/main" pred="{41C7E88C-6DA8-4E06-9B0E-0CCDF2D39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11</xdr:row>
      <xdr:rowOff>152400</xdr:rowOff>
    </xdr:from>
    <xdr:to>
      <xdr:col>8</xdr:col>
      <xdr:colOff>1343025</xdr:colOff>
      <xdr:row>26</xdr:row>
      <xdr:rowOff>47625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1FFA67AE-8E0F-40D5-B2C3-F253A45D2570}"/>
            </a:ext>
            <a:ext uri="{147F2762-F138-4A5C-976F-8EAC2B608ADB}">
              <a16:predDERef xmlns:a16="http://schemas.microsoft.com/office/drawing/2014/main" pred="{7CC52011-A895-4196-9629-C2038E0AC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1695450</xdr:colOff>
      <xdr:row>11</xdr:row>
      <xdr:rowOff>152400</xdr:rowOff>
    </xdr:from>
    <xdr:to>
      <xdr:col>11</xdr:col>
      <xdr:colOff>2371725</xdr:colOff>
      <xdr:row>26</xdr:row>
      <xdr:rowOff>47625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3E2424CD-9CC0-4536-922A-86610BFECDFA}"/>
            </a:ext>
            <a:ext uri="{147F2762-F138-4A5C-976F-8EAC2B608ADB}">
              <a16:predDERef xmlns:a16="http://schemas.microsoft.com/office/drawing/2014/main" pred="{1FFA67AE-8E0F-40D5-B2C3-F253A45D2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95250</xdr:colOff>
      <xdr:row>7</xdr:row>
      <xdr:rowOff>95250</xdr:rowOff>
    </xdr:from>
    <xdr:to>
      <xdr:col>1</xdr:col>
      <xdr:colOff>476250</xdr:colOff>
      <xdr:row>8</xdr:row>
      <xdr:rowOff>323850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81315F-7998-6F66-8CF4-61429853E020}"/>
            </a:ext>
            <a:ext uri="{147F2762-F138-4A5C-976F-8EAC2B608ADB}">
              <a16:predDERef xmlns:a16="http://schemas.microsoft.com/office/drawing/2014/main" pred="{3E2424CD-9CC0-4536-922A-86610BFE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1428750"/>
          <a:ext cx="381000" cy="561975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7</xdr:row>
      <xdr:rowOff>57150</xdr:rowOff>
    </xdr:from>
    <xdr:to>
      <xdr:col>4</xdr:col>
      <xdr:colOff>485775</xdr:colOff>
      <xdr:row>8</xdr:row>
      <xdr:rowOff>200025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2BEC15-42E3-561B-410B-6344691CB9A0}"/>
            </a:ext>
            <a:ext uri="{147F2762-F138-4A5C-976F-8EAC2B608ADB}">
              <a16:predDERef xmlns:a16="http://schemas.microsoft.com/office/drawing/2014/main" pred="{E081315F-7998-6F66-8CF4-61429853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24300" y="1390650"/>
          <a:ext cx="4000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7</xdr:row>
      <xdr:rowOff>85725</xdr:rowOff>
    </xdr:from>
    <xdr:to>
      <xdr:col>7</xdr:col>
      <xdr:colOff>466725</xdr:colOff>
      <xdr:row>8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58EE21-5D9B-C196-80F7-99E1E5CC4C4E}"/>
            </a:ext>
            <a:ext uri="{147F2762-F138-4A5C-976F-8EAC2B608ADB}">
              <a16:predDERef xmlns:a16="http://schemas.microsoft.com/office/drawing/2014/main" pred="{A92BEC15-42E3-561B-410B-6344691C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05650" y="1419225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7</xdr:row>
      <xdr:rowOff>123825</xdr:rowOff>
    </xdr:from>
    <xdr:to>
      <xdr:col>10</xdr:col>
      <xdr:colOff>523875</xdr:colOff>
      <xdr:row>8</xdr:row>
      <xdr:rowOff>247650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2C993DE-549E-CA2C-0E9C-7984E0AA2894}"/>
            </a:ext>
            <a:ext uri="{147F2762-F138-4A5C-976F-8EAC2B608ADB}">
              <a16:predDERef xmlns:a16="http://schemas.microsoft.com/office/drawing/2014/main" pred="{3A58EE21-5D9B-C196-80F7-99E1E5CC4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39425" y="14573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1</xdr:row>
      <xdr:rowOff>47625</xdr:rowOff>
    </xdr:from>
    <xdr:to>
      <xdr:col>2</xdr:col>
      <xdr:colOff>352425</xdr:colOff>
      <xdr:row>4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CCA-B5A0-67F6-912F-BD9F3A8D9557}"/>
            </a:ext>
            <a:ext uri="{147F2762-F138-4A5C-976F-8EAC2B608ADB}">
              <a16:predDERef xmlns:a16="http://schemas.microsoft.com/office/drawing/2014/main" pred="{52C993DE-549E-CA2C-0E9C-7984E0AA2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1550" y="238125"/>
          <a:ext cx="571500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7</xdr:row>
      <xdr:rowOff>85725</xdr:rowOff>
    </xdr:from>
    <xdr:to>
      <xdr:col>11</xdr:col>
      <xdr:colOff>114300</xdr:colOff>
      <xdr:row>21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EB9C06-6029-B075-B310-13B99A614DDA}"/>
            </a:ext>
            <a:ext uri="{147F2762-F138-4A5C-976F-8EAC2B608ADB}">
              <a16:predDERef xmlns:a16="http://schemas.microsoft.com/office/drawing/2014/main" pred="{80E4AAFC-16BC-45F8-44B6-731814A48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24</xdr:row>
      <xdr:rowOff>104775</xdr:rowOff>
    </xdr:from>
    <xdr:to>
      <xdr:col>11</xdr:col>
      <xdr:colOff>600075</xdr:colOff>
      <xdr:row>38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DE75E2-9BEE-A3E4-5CEB-07D8631EC6D6}"/>
            </a:ext>
            <a:ext uri="{147F2762-F138-4A5C-976F-8EAC2B608ADB}">
              <a16:predDERef xmlns:a16="http://schemas.microsoft.com/office/drawing/2014/main" pred="{1DEB9C06-6029-B075-B310-13B99A614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43</xdr:row>
      <xdr:rowOff>0</xdr:rowOff>
    </xdr:from>
    <xdr:to>
      <xdr:col>14</xdr:col>
      <xdr:colOff>95250</xdr:colOff>
      <xdr:row>57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39DE52-59F7-0030-76FF-2C1829656210}"/>
            </a:ext>
            <a:ext uri="{147F2762-F138-4A5C-976F-8EAC2B608ADB}">
              <a16:predDERef xmlns:a16="http://schemas.microsoft.com/office/drawing/2014/main" pred="{D0DE75E2-9BEE-A3E4-5CEB-07D8631EC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63065972221" createdVersion="8" refreshedVersion="8" minRefreshableVersion="3" recordCount="180" xr:uid="{6ABC0461-22A5-41DA-8234-2576A83A1EB6}">
  <cacheSource type="worksheet">
    <worksheetSource ref="A1:J181" sheet="Work Items"/>
  </cacheSource>
  <cacheFields count="10">
    <cacheField name="Work Item ID" numFmtId="0">
      <sharedItems/>
    </cacheField>
    <cacheField name="Work Item" numFmtId="0">
      <sharedItems/>
    </cacheField>
    <cacheField name="Department" numFmtId="0">
      <sharedItems count="7">
        <s v="Marketing"/>
        <s v="Operations"/>
        <s v="Technology"/>
        <s v="Finance"/>
        <s v="People &amp; Culture"/>
        <s v="Strategy"/>
        <s v="Customer Experience"/>
      </sharedItems>
    </cacheField>
    <cacheField name="Assigned To" numFmtId="0">
      <sharedItems count="12">
        <s v="Ethan Brooks"/>
        <s v="Sophie Taylor"/>
        <s v="Noah Williams"/>
        <s v="Mia Nguyen"/>
        <s v="Oliver Chen"/>
        <s v="Lucas Brown"/>
        <s v="Ava Thompson"/>
        <s v="Jack Patel"/>
        <s v="Priya Shah"/>
        <s v="Amelia Wilson"/>
        <s v="Isabella Martin"/>
        <s v="Liam Carter"/>
      </sharedItems>
    </cacheField>
    <cacheField name="Opened Date" numFmtId="14">
      <sharedItems containsSemiMixedTypes="0" containsNonDate="0" containsDate="1" containsString="0" minDate="2026-09-01T00:00:00" maxDate="2026-11-28T00:00:00"/>
    </cacheField>
    <cacheField name="Target Date" numFmtId="14">
      <sharedItems containsSemiMixedTypes="0" containsNonDate="0" containsDate="1" containsString="0" minDate="2026-09-06T00:00:00" maxDate="2026-12-01T00:00:00"/>
    </cacheField>
    <cacheField name="Task Duration (days)" numFmtId="164">
      <sharedItems containsSemiMixedTypes="0" containsString="0" containsNumber="1" containsInteger="1" minValue="2" maxValue="24"/>
    </cacheField>
    <cacheField name="Progress Status" numFmtId="0">
      <sharedItems count="4">
        <s v="Not Started"/>
        <s v="In Progress"/>
        <s v="On Hold"/>
        <s v="Completed"/>
      </sharedItems>
    </cacheField>
    <cacheField name="Overdue Flag" numFmtId="0">
      <sharedItems count="2">
        <b v="0"/>
        <b v="1"/>
      </sharedItems>
    </cacheField>
    <cacheField name="Latest No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MKT-26-0001"/>
    <s v="Phase 2: coordinate creative asset review"/>
    <x v="0"/>
    <x v="0"/>
    <d v="2026-10-14T00:00:00"/>
    <d v="2026-10-24T00:00:00"/>
    <n v="10"/>
    <x v="0"/>
    <x v="0"/>
    <s v="Scheduled for the next planning session."/>
  </r>
  <r>
    <s v="OPS-26-0002"/>
    <s v="Customer: review warehouse picking workflow"/>
    <x v="1"/>
    <x v="1"/>
    <d v="2026-11-25T00:00:00"/>
    <d v="2026-11-30T00:00:00"/>
    <n v="5"/>
    <x v="1"/>
    <x v="0"/>
    <s v="Draft prepared and awaiting feedback."/>
  </r>
  <r>
    <s v="TEC-26-0003"/>
    <s v="Phase 2: update application support notes"/>
    <x v="2"/>
    <x v="2"/>
    <d v="2026-09-04T00:00:00"/>
    <d v="2026-09-06T00:00:00"/>
    <n v="2"/>
    <x v="1"/>
    <x v="1"/>
    <s v="Initial review is complete."/>
  </r>
  <r>
    <s v="FIN-26-0004"/>
    <s v="FY27: update cash flow assumptions"/>
    <x v="3"/>
    <x v="3"/>
    <d v="2026-10-29T00:00:00"/>
    <d v="2026-11-19T00:00:00"/>
    <n v="21"/>
    <x v="1"/>
    <x v="0"/>
    <s v="A few items still need confirmation."/>
  </r>
  <r>
    <s v="MKT-26-0005"/>
    <s v="FY27: coordinate creative asset review"/>
    <x v="0"/>
    <x v="0"/>
    <d v="2026-09-26T00:00:00"/>
    <d v="2026-10-07T00:00:00"/>
    <n v="11"/>
    <x v="1"/>
    <x v="1"/>
    <s v="Draft prepared and awaiting feedback."/>
  </r>
  <r>
    <s v="OPS-26-0006"/>
    <s v="Customer: coordinate regional delivery schedule"/>
    <x v="1"/>
    <x v="4"/>
    <d v="2026-10-28T00:00:00"/>
    <d v="2026-11-01T00:00:00"/>
    <n v="4"/>
    <x v="2"/>
    <x v="0"/>
    <s v="Waiting for revised requirements."/>
  </r>
  <r>
    <s v="PPL-26-0007"/>
    <s v="Monthly: update workplace policy guide"/>
    <x v="4"/>
    <x v="5"/>
    <d v="2026-10-11T00:00:00"/>
    <d v="2026-10-27T00:00:00"/>
    <n v="16"/>
    <x v="3"/>
    <x v="0"/>
    <s v="Final version has been circulated."/>
  </r>
  <r>
    <s v="OPS-26-0008"/>
    <s v="Internal: update stock replenishment guide"/>
    <x v="1"/>
    <x v="2"/>
    <d v="2026-09-30T00:00:00"/>
    <d v="2026-10-02T00:00:00"/>
    <n v="2"/>
    <x v="3"/>
    <x v="0"/>
    <s v="Closed after team review."/>
  </r>
  <r>
    <s v="STR-26-0009"/>
    <s v="Monthly: review project milestone risks"/>
    <x v="5"/>
    <x v="0"/>
    <d v="2026-10-09T00:00:00"/>
    <d v="2026-10-20T00:00:00"/>
    <n v="11"/>
    <x v="1"/>
    <x v="0"/>
    <s v="Initial review is complete."/>
  </r>
  <r>
    <s v="CX-26-0010"/>
    <s v="Customer: review service quality sample"/>
    <x v="6"/>
    <x v="6"/>
    <d v="2026-10-17T00:00:00"/>
    <d v="2026-11-01T00:00:00"/>
    <n v="15"/>
    <x v="1"/>
    <x v="0"/>
    <s v="Work is underway; next update is due shortly."/>
  </r>
  <r>
    <s v="OPS-26-0011"/>
    <s v="Monthly: prepare weekly fulfilment summary"/>
    <x v="1"/>
    <x v="7"/>
    <d v="2026-11-01T00:00:00"/>
    <d v="2026-11-05T00:00:00"/>
    <n v="4"/>
    <x v="1"/>
    <x v="0"/>
    <s v="A few items still need confirmation."/>
  </r>
  <r>
    <s v="TEC-26-0012"/>
    <s v="Customer: prepare user acceptance test cases"/>
    <x v="2"/>
    <x v="3"/>
    <d v="2026-11-11T00:00:00"/>
    <d v="2026-11-21T00:00:00"/>
    <n v="10"/>
    <x v="3"/>
    <x v="0"/>
    <s v="Deliverable accepted by the relevant lead."/>
  </r>
  <r>
    <s v="MKT-26-0013"/>
    <s v="Customer: review campaign performance"/>
    <x v="0"/>
    <x v="7"/>
    <d v="2026-11-17T00:00:00"/>
    <d v="2026-11-30T00:00:00"/>
    <n v="13"/>
    <x v="3"/>
    <x v="0"/>
    <s v="Final version has been circulated."/>
  </r>
  <r>
    <s v="TEC-26-0014"/>
    <s v="Phase 2: test reporting dashboard filters"/>
    <x v="2"/>
    <x v="3"/>
    <d v="2026-11-02T00:00:00"/>
    <d v="2026-11-07T00:00:00"/>
    <n v="5"/>
    <x v="1"/>
    <x v="0"/>
    <s v="A few items still need confirmation."/>
  </r>
  <r>
    <s v="MKT-26-0015"/>
    <s v="Coordinate creative asset review"/>
    <x v="0"/>
    <x v="6"/>
    <d v="2026-10-22T00:00:00"/>
    <d v="2026-10-30T00:00:00"/>
    <n v="8"/>
    <x v="1"/>
    <x v="0"/>
    <s v="Draft prepared and awaiting feedback."/>
  </r>
  <r>
    <s v="OPS-26-0016"/>
    <s v="Internal: reorganise storage location labels"/>
    <x v="1"/>
    <x v="4"/>
    <d v="2026-09-05T00:00:00"/>
    <d v="2026-09-21T00:00:00"/>
    <n v="16"/>
    <x v="1"/>
    <x v="1"/>
    <s v="Draft prepared and awaiting feedback."/>
  </r>
  <r>
    <s v="MKT-26-0017"/>
    <s v="Monthly: plan seasonal promotion"/>
    <x v="0"/>
    <x v="4"/>
    <d v="2026-09-28T00:00:00"/>
    <d v="2026-10-03T00:00:00"/>
    <n v="5"/>
    <x v="1"/>
    <x v="1"/>
    <s v="Follow-up with stakeholders is planned."/>
  </r>
  <r>
    <s v="PPL-26-0018"/>
    <s v="Monthly: collect induction feedback"/>
    <x v="4"/>
    <x v="5"/>
    <d v="2026-09-07T00:00:00"/>
    <d v="2026-09-30T00:00:00"/>
    <n v="23"/>
    <x v="1"/>
    <x v="1"/>
    <s v="Initial review is complete."/>
  </r>
  <r>
    <s v="PPL-26-0019"/>
    <s v="Customer: prepare recruitment shortlist"/>
    <x v="4"/>
    <x v="1"/>
    <d v="2026-10-03T00:00:00"/>
    <d v="2026-10-05T00:00:00"/>
    <n v="2"/>
    <x v="2"/>
    <x v="1"/>
    <s v="Paused pending a decision from the project lead."/>
  </r>
  <r>
    <s v="MKT-26-0020"/>
    <s v="Coordinate creative asset review"/>
    <x v="0"/>
    <x v="8"/>
    <d v="2026-10-10T00:00:00"/>
    <d v="2026-10-22T00:00:00"/>
    <n v="12"/>
    <x v="3"/>
    <x v="0"/>
    <s v="Deliverable accepted by the relevant lead."/>
  </r>
  <r>
    <s v="PPL-26-0021"/>
    <s v="Internal: collect induction feedback"/>
    <x v="4"/>
    <x v="1"/>
    <d v="2026-11-01T00:00:00"/>
    <d v="2026-11-16T00:00:00"/>
    <n v="15"/>
    <x v="3"/>
    <x v="0"/>
    <s v="Final version has been circulated."/>
  </r>
  <r>
    <s v="TEC-26-0022"/>
    <s v="FY27: resolve spreadsheet validation issues"/>
    <x v="2"/>
    <x v="4"/>
    <d v="2026-11-19T00:00:00"/>
    <d v="2026-11-30T00:00:00"/>
    <n v="11"/>
    <x v="0"/>
    <x v="0"/>
    <s v="Owner to confirm the first milestone."/>
  </r>
  <r>
    <s v="TEC-26-0023"/>
    <s v="Customer: document database refresh process"/>
    <x v="2"/>
    <x v="9"/>
    <d v="2026-11-09T00:00:00"/>
    <d v="2026-11-13T00:00:00"/>
    <n v="4"/>
    <x v="1"/>
    <x v="0"/>
    <s v="Follow-up with stakeholders is planned."/>
  </r>
  <r>
    <s v="STR-26-0024"/>
    <s v="Monthly: summarise stakeholder workshop findings"/>
    <x v="5"/>
    <x v="0"/>
    <d v="2026-11-04T00:00:00"/>
    <d v="2026-11-26T00:00:00"/>
    <n v="22"/>
    <x v="1"/>
    <x v="0"/>
    <s v="A few items still need confirmation."/>
  </r>
  <r>
    <s v="FIN-26-0025"/>
    <s v="Phase 2: refresh department budget tracker"/>
    <x v="3"/>
    <x v="9"/>
    <d v="2026-10-23T00:00:00"/>
    <d v="2026-10-29T00:00:00"/>
    <n v="6"/>
    <x v="3"/>
    <x v="0"/>
    <s v="Deliverable accepted by the relevant lead."/>
  </r>
  <r>
    <s v="TEC-26-0026"/>
    <s v="FY27: update system change log"/>
    <x v="2"/>
    <x v="4"/>
    <d v="2026-10-01T00:00:00"/>
    <d v="2026-10-19T00:00:00"/>
    <n v="18"/>
    <x v="3"/>
    <x v="0"/>
    <s v="Reviewed and saved in the shared workspace."/>
  </r>
  <r>
    <s v="FIN-26-0027"/>
    <s v="Internal: refresh department budget tracker"/>
    <x v="3"/>
    <x v="9"/>
    <d v="2026-11-16T00:00:00"/>
    <d v="2026-11-23T00:00:00"/>
    <n v="7"/>
    <x v="3"/>
    <x v="0"/>
    <s v="Deliverable accepted by the relevant lead."/>
  </r>
  <r>
    <s v="OPS-26-0028"/>
    <s v="FY27: improve returns processing steps"/>
    <x v="1"/>
    <x v="7"/>
    <d v="2026-09-23T00:00:00"/>
    <d v="2026-10-03T00:00:00"/>
    <n v="10"/>
    <x v="2"/>
    <x v="1"/>
    <s v="Paused pending a decision from the project lead."/>
  </r>
  <r>
    <s v="TEC-26-0029"/>
    <s v="Internal: update system change log"/>
    <x v="2"/>
    <x v="0"/>
    <d v="2026-09-14T00:00:00"/>
    <d v="2026-10-04T00:00:00"/>
    <n v="20"/>
    <x v="1"/>
    <x v="1"/>
    <s v="Initial review is complete."/>
  </r>
  <r>
    <s v="OPS-26-0030"/>
    <s v="Monthly: review warehouse picking workflow"/>
    <x v="1"/>
    <x v="4"/>
    <d v="2026-09-28T00:00:00"/>
    <d v="2026-10-06T00:00:00"/>
    <n v="8"/>
    <x v="3"/>
    <x v="0"/>
    <s v="Final version has been circulated."/>
  </r>
  <r>
    <s v="OPS-26-0031"/>
    <s v="Monthly: improve returns processing steps"/>
    <x v="1"/>
    <x v="0"/>
    <d v="2026-10-28T00:00:00"/>
    <d v="2026-11-19T00:00:00"/>
    <n v="22"/>
    <x v="3"/>
    <x v="0"/>
    <s v="Deliverable accepted by the relevant lead."/>
  </r>
  <r>
    <s v="TEC-26-0032"/>
    <s v="FY27: resolve spreadsheet validation issues"/>
    <x v="2"/>
    <x v="0"/>
    <d v="2026-09-12T00:00:00"/>
    <d v="2026-09-30T00:00:00"/>
    <n v="18"/>
    <x v="1"/>
    <x v="1"/>
    <s v="Draft prepared and awaiting feedback."/>
  </r>
  <r>
    <s v="FIN-26-0033"/>
    <s v="FY27: check recurring software charges"/>
    <x v="3"/>
    <x v="9"/>
    <d v="2026-10-24T00:00:00"/>
    <d v="2026-11-16T00:00:00"/>
    <n v="23"/>
    <x v="2"/>
    <x v="0"/>
    <s v="Waiting for revised requirements."/>
  </r>
  <r>
    <s v="STR-26-0034"/>
    <s v="Customer: summarise stakeholder workshop findings"/>
    <x v="5"/>
    <x v="5"/>
    <d v="2026-11-04T00:00:00"/>
    <d v="2026-11-16T00:00:00"/>
    <n v="12"/>
    <x v="3"/>
    <x v="0"/>
    <s v="Final version has been circulated."/>
  </r>
  <r>
    <s v="PPL-26-0035"/>
    <s v="Organise internal learning session"/>
    <x v="4"/>
    <x v="10"/>
    <d v="2026-09-26T00:00:00"/>
    <d v="2026-10-16T00:00:00"/>
    <n v="20"/>
    <x v="3"/>
    <x v="0"/>
    <s v="Final version has been circulated."/>
  </r>
  <r>
    <s v="FIN-26-0036"/>
    <s v="Customer: confirm outstanding payment list"/>
    <x v="3"/>
    <x v="10"/>
    <d v="2026-09-07T00:00:00"/>
    <d v="2026-09-18T00:00:00"/>
    <n v="11"/>
    <x v="1"/>
    <x v="1"/>
    <s v="Progress is being tracked in the team register."/>
  </r>
  <r>
    <s v="STR-26-0037"/>
    <s v="Monthly: compile market trend summary"/>
    <x v="5"/>
    <x v="8"/>
    <d v="2026-10-07T00:00:00"/>
    <d v="2026-10-22T00:00:00"/>
    <n v="15"/>
    <x v="3"/>
    <x v="0"/>
    <s v="Closed after team review."/>
  </r>
  <r>
    <s v="PPL-26-0038"/>
    <s v="Regional: collect induction feedback"/>
    <x v="4"/>
    <x v="1"/>
    <d v="2026-09-03T00:00:00"/>
    <d v="2026-09-20T00:00:00"/>
    <n v="17"/>
    <x v="1"/>
    <x v="1"/>
    <s v="Work is underway; next update is due shortly."/>
  </r>
  <r>
    <s v="STR-26-0039"/>
    <s v="Monthly: review project milestone risks"/>
    <x v="5"/>
    <x v="3"/>
    <d v="2026-11-05T00:00:00"/>
    <d v="2026-11-26T00:00:00"/>
    <n v="21"/>
    <x v="2"/>
    <x v="0"/>
    <s v="Resourcing needs to be confirmed."/>
  </r>
  <r>
    <s v="OPS-26-0040"/>
    <s v="Phase 2: audit order dispatch records"/>
    <x v="1"/>
    <x v="9"/>
    <d v="2026-11-02T00:00:00"/>
    <d v="2026-11-04T00:00:00"/>
    <n v="2"/>
    <x v="3"/>
    <x v="0"/>
    <s v="Deliverable accepted by the relevant lead."/>
  </r>
  <r>
    <s v="PPL-26-0041"/>
    <s v="Regional: refresh staff training register"/>
    <x v="4"/>
    <x v="8"/>
    <d v="2026-09-07T00:00:00"/>
    <d v="2026-09-26T00:00:00"/>
    <n v="19"/>
    <x v="3"/>
    <x v="0"/>
    <s v="Checks completed; no major issues found."/>
  </r>
  <r>
    <s v="MKT-26-0042"/>
    <s v="FY27: build customer email calendar"/>
    <x v="0"/>
    <x v="3"/>
    <d v="2026-09-24T00:00:00"/>
    <d v="2026-10-07T00:00:00"/>
    <n v="13"/>
    <x v="3"/>
    <x v="0"/>
    <s v="Final version has been circulated."/>
  </r>
  <r>
    <s v="MKT-26-0043"/>
    <s v="Internal: review search advertising results"/>
    <x v="0"/>
    <x v="3"/>
    <d v="2026-10-08T00:00:00"/>
    <d v="2026-10-26T00:00:00"/>
    <n v="18"/>
    <x v="1"/>
    <x v="0"/>
    <s v="Progress is being tracked in the team register."/>
  </r>
  <r>
    <s v="CX-26-0044"/>
    <s v="Customer: identify repeat contact drivers"/>
    <x v="6"/>
    <x v="7"/>
    <d v="2026-10-25T00:00:00"/>
    <d v="2026-11-07T00:00:00"/>
    <n v="13"/>
    <x v="1"/>
    <x v="0"/>
    <s v="A few items still need confirmation."/>
  </r>
  <r>
    <s v="TEC-26-0045"/>
    <s v="FY27: check automated report schedule"/>
    <x v="2"/>
    <x v="0"/>
    <d v="2026-11-09T00:00:00"/>
    <d v="2026-11-11T00:00:00"/>
    <n v="2"/>
    <x v="0"/>
    <x v="0"/>
    <s v="Scheduled for the next planning session."/>
  </r>
  <r>
    <s v="OPS-26-0046"/>
    <s v="Monthly: coordinate regional delivery schedule"/>
    <x v="1"/>
    <x v="2"/>
    <d v="2026-09-24T00:00:00"/>
    <d v="2026-10-01T00:00:00"/>
    <n v="7"/>
    <x v="2"/>
    <x v="1"/>
    <s v="Paused pending a decision from the project lead."/>
  </r>
  <r>
    <s v="CX-26-0047"/>
    <s v="FY27: analyse customer satisfaction results"/>
    <x v="6"/>
    <x v="2"/>
    <d v="2026-11-07T00:00:00"/>
    <d v="2026-11-09T00:00:00"/>
    <n v="2"/>
    <x v="0"/>
    <x v="0"/>
    <s v="Waiting for the initial briefing."/>
  </r>
  <r>
    <s v="TEC-26-0048"/>
    <s v="Internal: prepare user acceptance test cases"/>
    <x v="2"/>
    <x v="0"/>
    <d v="2026-10-20T00:00:00"/>
    <d v="2026-11-07T00:00:00"/>
    <n v="18"/>
    <x v="1"/>
    <x v="0"/>
    <s v="Draft prepared and awaiting feedback."/>
  </r>
  <r>
    <s v="FIN-26-0049"/>
    <s v="Internal: check recurring software charges"/>
    <x v="3"/>
    <x v="11"/>
    <d v="2026-10-22T00:00:00"/>
    <d v="2026-10-28T00:00:00"/>
    <n v="6"/>
    <x v="0"/>
    <x v="0"/>
    <s v="Dependencies are being checked."/>
  </r>
  <r>
    <s v="TEC-26-0050"/>
    <s v="Customer: test reporting dashboard filters"/>
    <x v="2"/>
    <x v="10"/>
    <d v="2026-09-12T00:00:00"/>
    <d v="2026-09-22T00:00:00"/>
    <n v="10"/>
    <x v="1"/>
    <x v="1"/>
    <s v="Draft prepared and awaiting feedback."/>
  </r>
  <r>
    <s v="MKT-26-0051"/>
    <s v="Internal: coordinate creative asset review"/>
    <x v="0"/>
    <x v="7"/>
    <d v="2026-09-14T00:00:00"/>
    <d v="2026-09-19T00:00:00"/>
    <n v="5"/>
    <x v="0"/>
    <x v="1"/>
    <s v="Owner to confirm the first milestone."/>
  </r>
  <r>
    <s v="STR-26-0052"/>
    <s v="Monthly: prepare leadership briefing notes"/>
    <x v="5"/>
    <x v="11"/>
    <d v="2026-10-07T00:00:00"/>
    <d v="2026-10-21T00:00:00"/>
    <n v="14"/>
    <x v="0"/>
    <x v="0"/>
    <s v="Owner to confirm the first milestone."/>
  </r>
  <r>
    <s v="MKT-26-0053"/>
    <s v="Regional: review search advertising results"/>
    <x v="0"/>
    <x v="4"/>
    <d v="2026-11-18T00:00:00"/>
    <d v="2026-11-30T00:00:00"/>
    <n v="12"/>
    <x v="1"/>
    <x v="0"/>
    <s v="Follow-up with stakeholders is planned."/>
  </r>
  <r>
    <s v="TEC-26-0054"/>
    <s v="Monthly: resolve spreadsheet validation issues"/>
    <x v="2"/>
    <x v="9"/>
    <d v="2026-09-30T00:00:00"/>
    <d v="2026-10-15T00:00:00"/>
    <n v="15"/>
    <x v="1"/>
    <x v="0"/>
    <s v="Progress is being tracked in the team register."/>
  </r>
  <r>
    <s v="STR-26-0055"/>
    <s v="Customer: update annual planning assumptions"/>
    <x v="5"/>
    <x v="7"/>
    <d v="2026-09-02T00:00:00"/>
    <d v="2026-09-23T00:00:00"/>
    <n v="21"/>
    <x v="1"/>
    <x v="1"/>
    <s v="Follow-up with stakeholders is planned."/>
  </r>
  <r>
    <s v="FIN-26-0056"/>
    <s v="Internal: check recurring software charges"/>
    <x v="3"/>
    <x v="9"/>
    <d v="2026-09-27T00:00:00"/>
    <d v="2026-10-01T00:00:00"/>
    <n v="4"/>
    <x v="3"/>
    <x v="0"/>
    <s v="Closed after team review."/>
  </r>
  <r>
    <s v="TEC-26-0057"/>
    <s v="Customer: clean customer data extract"/>
    <x v="2"/>
    <x v="4"/>
    <d v="2026-10-02T00:00:00"/>
    <d v="2026-10-15T00:00:00"/>
    <n v="13"/>
    <x v="1"/>
    <x v="0"/>
    <s v="Draft prepared and awaiting feedback."/>
  </r>
  <r>
    <s v="MKT-26-0058"/>
    <s v="Phase 2: analyse social engagement trends"/>
    <x v="0"/>
    <x v="0"/>
    <d v="2026-09-28T00:00:00"/>
    <d v="2026-10-01T00:00:00"/>
    <n v="3"/>
    <x v="0"/>
    <x v="1"/>
    <s v="Dependencies are being checked."/>
  </r>
  <r>
    <s v="FIN-26-0059"/>
    <s v="Customer: review project expenditure"/>
    <x v="3"/>
    <x v="5"/>
    <d v="2026-09-12T00:00:00"/>
    <d v="2026-09-26T00:00:00"/>
    <n v="14"/>
    <x v="3"/>
    <x v="0"/>
    <s v="Reviewed and saved in the shared workspace."/>
  </r>
  <r>
    <s v="OPS-26-0060"/>
    <s v="Phase 2: reorganise storage location labels"/>
    <x v="1"/>
    <x v="6"/>
    <d v="2026-10-06T00:00:00"/>
    <d v="2026-10-24T00:00:00"/>
    <n v="18"/>
    <x v="0"/>
    <x v="0"/>
    <s v="Dependencies are being checked."/>
  </r>
  <r>
    <s v="PPL-26-0061"/>
    <s v="Phase 2: coordinate team feedback survey"/>
    <x v="4"/>
    <x v="6"/>
    <d v="2026-09-03T00:00:00"/>
    <d v="2026-09-08T00:00:00"/>
    <n v="5"/>
    <x v="1"/>
    <x v="1"/>
    <s v="Work is underway; next update is due shortly."/>
  </r>
  <r>
    <s v="STR-26-0062"/>
    <s v="Internal: prepare leadership briefing notes"/>
    <x v="5"/>
    <x v="4"/>
    <d v="2026-11-21T00:00:00"/>
    <d v="2026-11-24T00:00:00"/>
    <n v="3"/>
    <x v="1"/>
    <x v="0"/>
    <s v="Draft prepared and awaiting feedback."/>
  </r>
  <r>
    <s v="TEC-26-0063"/>
    <s v="Regional: update application support notes"/>
    <x v="2"/>
    <x v="9"/>
    <d v="2026-10-13T00:00:00"/>
    <d v="2026-10-24T00:00:00"/>
    <n v="11"/>
    <x v="3"/>
    <x v="0"/>
    <s v="Closed after team review."/>
  </r>
  <r>
    <s v="CX-26-0064"/>
    <s v="Regional: review customer complaint themes"/>
    <x v="6"/>
    <x v="9"/>
    <d v="2026-10-14T00:00:00"/>
    <d v="2026-10-22T00:00:00"/>
    <n v="8"/>
    <x v="1"/>
    <x v="0"/>
    <s v="Follow-up with stakeholders is planned."/>
  </r>
  <r>
    <s v="PPL-26-0065"/>
    <s v="Monthly: schedule onboarding sessions"/>
    <x v="4"/>
    <x v="11"/>
    <d v="2026-10-20T00:00:00"/>
    <d v="2026-10-25T00:00:00"/>
    <n v="5"/>
    <x v="2"/>
    <x v="0"/>
    <s v="Resourcing needs to be confirmed."/>
  </r>
  <r>
    <s v="STR-26-0066"/>
    <s v="Internal: update annual planning assumptions"/>
    <x v="5"/>
    <x v="1"/>
    <d v="2026-09-10T00:00:00"/>
    <d v="2026-10-03T00:00:00"/>
    <n v="23"/>
    <x v="3"/>
    <x v="0"/>
    <s v="Reviewed and saved in the shared workspace."/>
  </r>
  <r>
    <s v="STR-26-0067"/>
    <s v="Internal: summarise stakeholder workshop findings"/>
    <x v="5"/>
    <x v="0"/>
    <d v="2026-11-05T00:00:00"/>
    <d v="2026-11-12T00:00:00"/>
    <n v="7"/>
    <x v="3"/>
    <x v="0"/>
    <s v="Deliverable accepted by the relevant lead."/>
  </r>
  <r>
    <s v="PPL-26-0068"/>
    <s v="Prepare recruitment shortlist"/>
    <x v="4"/>
    <x v="1"/>
    <d v="2026-11-25T00:00:00"/>
    <d v="2026-11-30T00:00:00"/>
    <n v="5"/>
    <x v="3"/>
    <x v="0"/>
    <s v="Deliverable accepted by the relevant lead."/>
  </r>
  <r>
    <s v="CX-26-0069"/>
    <s v="FY27: prepare customer feedback summary"/>
    <x v="6"/>
    <x v="11"/>
    <d v="2026-11-20T00:00:00"/>
    <d v="2026-11-30T00:00:00"/>
    <n v="10"/>
    <x v="0"/>
    <x v="0"/>
    <s v="Waiting for the initial briefing."/>
  </r>
  <r>
    <s v="TEC-26-0070"/>
    <s v="Customer: prepare user acceptance test cases"/>
    <x v="2"/>
    <x v="8"/>
    <d v="2026-10-16T00:00:00"/>
    <d v="2026-11-03T00:00:00"/>
    <n v="18"/>
    <x v="0"/>
    <x v="0"/>
    <s v="Owner to confirm the first milestone."/>
  </r>
  <r>
    <s v="TEC-26-0071"/>
    <s v="Regional: review backup status"/>
    <x v="2"/>
    <x v="10"/>
    <d v="2026-11-17T00:00:00"/>
    <d v="2026-11-23T00:00:00"/>
    <n v="6"/>
    <x v="3"/>
    <x v="0"/>
    <s v="Reviewed and saved in the shared workspace."/>
  </r>
  <r>
    <s v="PPL-26-0072"/>
    <s v="Phase 2: prepare recruitment shortlist"/>
    <x v="4"/>
    <x v="4"/>
    <d v="2026-09-22T00:00:00"/>
    <d v="2026-10-07T00:00:00"/>
    <n v="15"/>
    <x v="0"/>
    <x v="1"/>
    <s v="Owner to confirm the first milestone."/>
  </r>
  <r>
    <s v="OPS-26-0073"/>
    <s v="Monthly: coordinate regional delivery schedule"/>
    <x v="1"/>
    <x v="9"/>
    <d v="2026-10-16T00:00:00"/>
    <d v="2026-10-20T00:00:00"/>
    <n v="4"/>
    <x v="3"/>
    <x v="0"/>
    <s v="Closed after team review."/>
  </r>
  <r>
    <s v="MKT-26-0074"/>
    <s v="Prepare product launch brief"/>
    <x v="0"/>
    <x v="8"/>
    <d v="2026-09-28T00:00:00"/>
    <d v="2026-10-18T00:00:00"/>
    <n v="20"/>
    <x v="3"/>
    <x v="0"/>
    <s v="Reviewed and saved in the shared workspace."/>
  </r>
  <r>
    <s v="STR-26-0075"/>
    <s v="Regional: compile market trend summary"/>
    <x v="5"/>
    <x v="0"/>
    <d v="2026-10-12T00:00:00"/>
    <d v="2026-10-24T00:00:00"/>
    <n v="12"/>
    <x v="3"/>
    <x v="0"/>
    <s v="Final version has been circulated."/>
  </r>
  <r>
    <s v="CX-26-0076"/>
    <s v="Internal: check unresolved support requests"/>
    <x v="6"/>
    <x v="8"/>
    <d v="2026-09-01T00:00:00"/>
    <d v="2026-09-19T00:00:00"/>
    <n v="18"/>
    <x v="1"/>
    <x v="1"/>
    <s v="Follow-up with stakeholders is planned."/>
  </r>
  <r>
    <s v="CX-26-0077"/>
    <s v="Customer: review service quality sample"/>
    <x v="6"/>
    <x v="2"/>
    <d v="2026-09-15T00:00:00"/>
    <d v="2026-10-01T00:00:00"/>
    <n v="16"/>
    <x v="2"/>
    <x v="1"/>
    <s v="Paused pending a decision from the project lead."/>
  </r>
  <r>
    <s v="OPS-26-0078"/>
    <s v="Improve returns processing steps"/>
    <x v="1"/>
    <x v="6"/>
    <d v="2026-10-03T00:00:00"/>
    <d v="2026-10-22T00:00:00"/>
    <n v="19"/>
    <x v="1"/>
    <x v="0"/>
    <s v="A few items still need confirmation."/>
  </r>
  <r>
    <s v="MKT-26-0079"/>
    <s v="Phase 2: refresh campaign tracking sheet"/>
    <x v="0"/>
    <x v="10"/>
    <d v="2026-09-02T00:00:00"/>
    <d v="2026-09-21T00:00:00"/>
    <n v="19"/>
    <x v="2"/>
    <x v="1"/>
    <s v="Paused pending a decision from the project lead."/>
  </r>
  <r>
    <s v="MKT-26-0080"/>
    <s v="Internal: refresh campaign tracking sheet"/>
    <x v="0"/>
    <x v="8"/>
    <d v="2026-11-08T00:00:00"/>
    <d v="2026-11-24T00:00:00"/>
    <n v="16"/>
    <x v="0"/>
    <x v="0"/>
    <s v="Dependencies are being checked."/>
  </r>
  <r>
    <s v="FIN-26-0081"/>
    <s v="Phase 2: check recurring software charges"/>
    <x v="3"/>
    <x v="2"/>
    <d v="2026-11-11T00:00:00"/>
    <d v="2026-11-27T00:00:00"/>
    <n v="16"/>
    <x v="1"/>
    <x v="0"/>
    <s v="A few items still need confirmation."/>
  </r>
  <r>
    <s v="MKT-26-0082"/>
    <s v="Monthly: prepare product launch brief"/>
    <x v="0"/>
    <x v="7"/>
    <d v="2026-11-10T00:00:00"/>
    <d v="2026-11-15T00:00:00"/>
    <n v="5"/>
    <x v="0"/>
    <x v="0"/>
    <s v="Dependencies are being checked."/>
  </r>
  <r>
    <s v="TEC-26-0083"/>
    <s v="Test reporting dashboard filters"/>
    <x v="2"/>
    <x v="0"/>
    <d v="2026-09-24T00:00:00"/>
    <d v="2026-10-14T00:00:00"/>
    <n v="20"/>
    <x v="1"/>
    <x v="0"/>
    <s v="Initial review is complete."/>
  </r>
  <r>
    <s v="PPL-26-0084"/>
    <s v="FY27: review leave coverage plan"/>
    <x v="4"/>
    <x v="1"/>
    <d v="2026-09-06T00:00:00"/>
    <d v="2026-09-10T00:00:00"/>
    <n v="4"/>
    <x v="0"/>
    <x v="1"/>
    <s v="Waiting for the initial briefing."/>
  </r>
  <r>
    <s v="MKT-26-0085"/>
    <s v="Internal: update website product copy"/>
    <x v="0"/>
    <x v="9"/>
    <d v="2026-11-02T00:00:00"/>
    <d v="2026-11-05T00:00:00"/>
    <n v="3"/>
    <x v="1"/>
    <x v="0"/>
    <s v="Work is underway; next update is due shortly."/>
  </r>
  <r>
    <s v="OPS-26-0086"/>
    <s v="Regional: reorganise storage location labels"/>
    <x v="1"/>
    <x v="10"/>
    <d v="2026-09-22T00:00:00"/>
    <d v="2026-10-09T00:00:00"/>
    <n v="17"/>
    <x v="1"/>
    <x v="1"/>
    <s v="Work is underway; next update is due shortly."/>
  </r>
  <r>
    <s v="MKT-26-0087"/>
    <s v="Regional: review search advertising results"/>
    <x v="0"/>
    <x v="3"/>
    <d v="2026-09-20T00:00:00"/>
    <d v="2026-09-24T00:00:00"/>
    <n v="4"/>
    <x v="1"/>
    <x v="1"/>
    <s v="Draft prepared and awaiting feedback."/>
  </r>
  <r>
    <s v="FIN-26-0088"/>
    <s v="Regional: refresh department budget tracker"/>
    <x v="3"/>
    <x v="0"/>
    <d v="2026-11-23T00:00:00"/>
    <d v="2026-11-27T00:00:00"/>
    <n v="4"/>
    <x v="2"/>
    <x v="0"/>
    <s v="Resourcing needs to be confirmed."/>
  </r>
  <r>
    <s v="CX-26-0089"/>
    <s v="Internal: review customer complaint themes"/>
    <x v="6"/>
    <x v="9"/>
    <d v="2026-09-11T00:00:00"/>
    <d v="2026-09-19T00:00:00"/>
    <n v="8"/>
    <x v="0"/>
    <x v="1"/>
    <s v="Dependencies are being checked."/>
  </r>
  <r>
    <s v="STR-26-0090"/>
    <s v="Monthly: review process improvement proposals"/>
    <x v="5"/>
    <x v="3"/>
    <d v="2026-09-30T00:00:00"/>
    <d v="2026-10-19T00:00:00"/>
    <n v="19"/>
    <x v="0"/>
    <x v="0"/>
    <s v="Scheduled for the next planning session."/>
  </r>
  <r>
    <s v="TEC-26-0091"/>
    <s v="Monthly: review access permissions"/>
    <x v="2"/>
    <x v="11"/>
    <d v="2026-11-14T00:00:00"/>
    <d v="2026-11-22T00:00:00"/>
    <n v="8"/>
    <x v="0"/>
    <x v="0"/>
    <s v="Dependencies are being checked."/>
  </r>
  <r>
    <s v="PPL-26-0092"/>
    <s v="Internal: refresh staff training register"/>
    <x v="4"/>
    <x v="11"/>
    <d v="2026-10-24T00:00:00"/>
    <d v="2026-11-09T00:00:00"/>
    <n v="16"/>
    <x v="3"/>
    <x v="0"/>
    <s v="Deliverable accepted by the relevant lead."/>
  </r>
  <r>
    <s v="STR-26-0093"/>
    <s v="Internal: review project milestone risks"/>
    <x v="5"/>
    <x v="4"/>
    <d v="2026-10-04T00:00:00"/>
    <d v="2026-10-21T00:00:00"/>
    <n v="17"/>
    <x v="3"/>
    <x v="0"/>
    <s v="Closed after team review."/>
  </r>
  <r>
    <s v="TEC-26-0094"/>
    <s v="FY27: review access permissions"/>
    <x v="2"/>
    <x v="10"/>
    <d v="2026-11-15T00:00:00"/>
    <d v="2026-11-17T00:00:00"/>
    <n v="2"/>
    <x v="3"/>
    <x v="0"/>
    <s v="Reviewed and saved in the shared workspace."/>
  </r>
  <r>
    <s v="PPL-26-0095"/>
    <s v="Customer: coordinate team feedback survey"/>
    <x v="4"/>
    <x v="3"/>
    <d v="2026-09-21T00:00:00"/>
    <d v="2026-10-01T00:00:00"/>
    <n v="10"/>
    <x v="1"/>
    <x v="1"/>
    <s v="Draft prepared and awaiting feedback."/>
  </r>
  <r>
    <s v="CX-26-0096"/>
    <s v="FY27: check unresolved support requests"/>
    <x v="6"/>
    <x v="10"/>
    <d v="2026-11-23T00:00:00"/>
    <d v="2026-11-30T00:00:00"/>
    <n v="7"/>
    <x v="1"/>
    <x v="0"/>
    <s v="Progress is being tracked in the team register."/>
  </r>
  <r>
    <s v="PPL-26-0097"/>
    <s v="Customer: review leave coverage plan"/>
    <x v="4"/>
    <x v="1"/>
    <d v="2026-10-03T00:00:00"/>
    <d v="2026-10-17T00:00:00"/>
    <n v="14"/>
    <x v="3"/>
    <x v="0"/>
    <s v="Final version has been circulated."/>
  </r>
  <r>
    <s v="TEC-26-0098"/>
    <s v="Monthly: test reporting dashboard filters"/>
    <x v="2"/>
    <x v="0"/>
    <d v="2026-11-13T00:00:00"/>
    <d v="2026-11-30T00:00:00"/>
    <n v="17"/>
    <x v="1"/>
    <x v="0"/>
    <s v="A few items still need confirmation."/>
  </r>
  <r>
    <s v="MKT-26-0099"/>
    <s v="Internal: review campaign performance"/>
    <x v="0"/>
    <x v="2"/>
    <d v="2026-11-22T00:00:00"/>
    <d v="2026-11-26T00:00:00"/>
    <n v="4"/>
    <x v="1"/>
    <x v="0"/>
    <s v="Follow-up with stakeholders is planned."/>
  </r>
  <r>
    <s v="PPL-26-0100"/>
    <s v="Customer: update workplace policy guide"/>
    <x v="4"/>
    <x v="8"/>
    <d v="2026-10-16T00:00:00"/>
    <d v="2026-10-30T00:00:00"/>
    <n v="14"/>
    <x v="1"/>
    <x v="0"/>
    <s v="Follow-up with stakeholders is planned."/>
  </r>
  <r>
    <s v="STR-26-0101"/>
    <s v="FY27: update annual planning assumptions"/>
    <x v="5"/>
    <x v="1"/>
    <d v="2026-10-15T00:00:00"/>
    <d v="2026-10-18T00:00:00"/>
    <n v="3"/>
    <x v="1"/>
    <x v="0"/>
    <s v="Draft prepared and awaiting feedback."/>
  </r>
  <r>
    <s v="TEC-26-0102"/>
    <s v="Phase 2: review backup status"/>
    <x v="2"/>
    <x v="6"/>
    <d v="2026-10-02T00:00:00"/>
    <d v="2026-10-21T00:00:00"/>
    <n v="19"/>
    <x v="1"/>
    <x v="0"/>
    <s v="Progress is being tracked in the team register."/>
  </r>
  <r>
    <s v="CX-26-0103"/>
    <s v="Phase 2: refresh help centre articles"/>
    <x v="6"/>
    <x v="11"/>
    <d v="2026-10-05T00:00:00"/>
    <d v="2026-10-22T00:00:00"/>
    <n v="17"/>
    <x v="1"/>
    <x v="0"/>
    <s v="Follow-up with stakeholders is planned."/>
  </r>
  <r>
    <s v="CX-26-0104"/>
    <s v="Identify repeat contact drivers"/>
    <x v="6"/>
    <x v="11"/>
    <d v="2026-10-25T00:00:00"/>
    <d v="2026-11-13T00:00:00"/>
    <n v="19"/>
    <x v="3"/>
    <x v="0"/>
    <s v="Deliverable accepted by the relevant lead."/>
  </r>
  <r>
    <s v="STR-26-0105"/>
    <s v="Monthly: update annual planning assumptions"/>
    <x v="5"/>
    <x v="9"/>
    <d v="2026-10-28T00:00:00"/>
    <d v="2026-11-20T00:00:00"/>
    <n v="23"/>
    <x v="3"/>
    <x v="0"/>
    <s v="Closed after team review."/>
  </r>
  <r>
    <s v="CX-26-0106"/>
    <s v="FY27: refresh help centre articles"/>
    <x v="6"/>
    <x v="11"/>
    <d v="2026-11-04T00:00:00"/>
    <d v="2026-11-27T00:00:00"/>
    <n v="23"/>
    <x v="1"/>
    <x v="0"/>
    <s v="Draft prepared and awaiting feedback."/>
  </r>
  <r>
    <s v="TEC-26-0107"/>
    <s v="Internal: test reporting dashboard filters"/>
    <x v="2"/>
    <x v="8"/>
    <d v="2026-09-26T00:00:00"/>
    <d v="2026-10-04T00:00:00"/>
    <n v="8"/>
    <x v="3"/>
    <x v="0"/>
    <s v="Final version has been circulated."/>
  </r>
  <r>
    <s v="TEC-26-0108"/>
    <s v="Regional: update application support notes"/>
    <x v="2"/>
    <x v="3"/>
    <d v="2026-09-06T00:00:00"/>
    <d v="2026-09-30T00:00:00"/>
    <n v="24"/>
    <x v="1"/>
    <x v="1"/>
    <s v="Work is underway; next update is due shortly."/>
  </r>
  <r>
    <s v="STR-26-0109"/>
    <s v="Customer: summarise stakeholder workshop findings"/>
    <x v="5"/>
    <x v="2"/>
    <d v="2026-09-29T00:00:00"/>
    <d v="2026-10-13T00:00:00"/>
    <n v="14"/>
    <x v="1"/>
    <x v="0"/>
    <s v="Follow-up with stakeholders is planned."/>
  </r>
  <r>
    <s v="MKT-26-0110"/>
    <s v="Analyse social engagement trends"/>
    <x v="0"/>
    <x v="11"/>
    <d v="2026-11-21T00:00:00"/>
    <d v="2026-11-30T00:00:00"/>
    <n v="9"/>
    <x v="3"/>
    <x v="0"/>
    <s v="Final version has been circulated."/>
  </r>
  <r>
    <s v="CX-26-0111"/>
    <s v="Phase 2: refresh help centre articles"/>
    <x v="6"/>
    <x v="11"/>
    <d v="2026-09-04T00:00:00"/>
    <d v="2026-09-24T00:00:00"/>
    <n v="20"/>
    <x v="1"/>
    <x v="1"/>
    <s v="Follow-up with stakeholders is planned."/>
  </r>
  <r>
    <s v="STR-26-0112"/>
    <s v="Internal: compare competitor service offers"/>
    <x v="5"/>
    <x v="1"/>
    <d v="2026-11-09T00:00:00"/>
    <d v="2026-11-21T00:00:00"/>
    <n v="12"/>
    <x v="3"/>
    <x v="0"/>
    <s v="Deliverable accepted by the relevant lead."/>
  </r>
  <r>
    <s v="OPS-26-0113"/>
    <s v="FY27: improve returns processing steps"/>
    <x v="1"/>
    <x v="11"/>
    <d v="2026-09-05T00:00:00"/>
    <d v="2026-09-28T00:00:00"/>
    <n v="23"/>
    <x v="3"/>
    <x v="0"/>
    <s v="Final version has been circulated."/>
  </r>
  <r>
    <s v="OPS-26-0114"/>
    <s v="Regional: update stock replenishment guide"/>
    <x v="1"/>
    <x v="7"/>
    <d v="2026-09-26T00:00:00"/>
    <d v="2026-10-01T00:00:00"/>
    <n v="5"/>
    <x v="2"/>
    <x v="1"/>
    <s v="Waiting for revised requirements."/>
  </r>
  <r>
    <s v="CX-26-0115"/>
    <s v="Monthly: review service quality sample"/>
    <x v="6"/>
    <x v="0"/>
    <d v="2026-09-12T00:00:00"/>
    <d v="2026-10-05T00:00:00"/>
    <n v="23"/>
    <x v="3"/>
    <x v="0"/>
    <s v="Closed after team review."/>
  </r>
  <r>
    <s v="OPS-26-0116"/>
    <s v="Improve returns processing steps"/>
    <x v="1"/>
    <x v="7"/>
    <d v="2026-11-27T00:00:00"/>
    <d v="2026-11-30T00:00:00"/>
    <n v="3"/>
    <x v="0"/>
    <x v="0"/>
    <s v="Waiting for the initial briefing."/>
  </r>
  <r>
    <s v="FIN-26-0117"/>
    <s v="FY27: refresh department budget tracker"/>
    <x v="3"/>
    <x v="8"/>
    <d v="2026-10-22T00:00:00"/>
    <d v="2026-11-15T00:00:00"/>
    <n v="24"/>
    <x v="3"/>
    <x v="0"/>
    <s v="Reviewed and saved in the shared workspace."/>
  </r>
  <r>
    <s v="TEC-26-0118"/>
    <s v="Internal: document database refresh process"/>
    <x v="2"/>
    <x v="11"/>
    <d v="2026-11-25T00:00:00"/>
    <d v="2026-11-30T00:00:00"/>
    <n v="5"/>
    <x v="0"/>
    <x v="0"/>
    <s v="Dependencies are being checked."/>
  </r>
  <r>
    <s v="STR-26-0119"/>
    <s v="Monthly: review project milestone risks"/>
    <x v="5"/>
    <x v="1"/>
    <d v="2026-09-11T00:00:00"/>
    <d v="2026-09-13T00:00:00"/>
    <n v="2"/>
    <x v="1"/>
    <x v="1"/>
    <s v="Progress is being tracked in the team register."/>
  </r>
  <r>
    <s v="OPS-26-0120"/>
    <s v="Phase 2: coordinate regional delivery schedule"/>
    <x v="1"/>
    <x v="4"/>
    <d v="2026-10-03T00:00:00"/>
    <d v="2026-10-17T00:00:00"/>
    <n v="14"/>
    <x v="1"/>
    <x v="0"/>
    <s v="Draft prepared and awaiting feedback."/>
  </r>
  <r>
    <s v="STR-26-0121"/>
    <s v="Regional: prepare leadership briefing notes"/>
    <x v="5"/>
    <x v="10"/>
    <d v="2026-11-08T00:00:00"/>
    <d v="2026-11-18T00:00:00"/>
    <n v="10"/>
    <x v="0"/>
    <x v="0"/>
    <s v="Scheduled for the next planning session."/>
  </r>
  <r>
    <s v="TEC-26-0122"/>
    <s v="Regional: review access permissions"/>
    <x v="2"/>
    <x v="9"/>
    <d v="2026-09-26T00:00:00"/>
    <d v="2026-10-02T00:00:00"/>
    <n v="6"/>
    <x v="0"/>
    <x v="1"/>
    <s v="Owner to confirm the first milestone."/>
  </r>
  <r>
    <s v="CX-26-0123"/>
    <s v="Internal: identify repeat contact drivers"/>
    <x v="6"/>
    <x v="2"/>
    <d v="2026-11-19T00:00:00"/>
    <d v="2026-11-30T00:00:00"/>
    <n v="11"/>
    <x v="1"/>
    <x v="0"/>
    <s v="Follow-up with stakeholders is planned."/>
  </r>
  <r>
    <s v="MKT-26-0124"/>
    <s v="FY27: analyse social engagement trends"/>
    <x v="0"/>
    <x v="7"/>
    <d v="2026-09-07T00:00:00"/>
    <d v="2026-09-10T00:00:00"/>
    <n v="3"/>
    <x v="3"/>
    <x v="0"/>
    <s v="Final version has been circulated."/>
  </r>
  <r>
    <s v="CX-26-0125"/>
    <s v="Review customer complaint themes"/>
    <x v="6"/>
    <x v="9"/>
    <d v="2026-10-18T00:00:00"/>
    <d v="2026-11-08T00:00:00"/>
    <n v="21"/>
    <x v="3"/>
    <x v="0"/>
    <s v="Checks completed; no major issues found."/>
  </r>
  <r>
    <s v="STR-26-0126"/>
    <s v="Monthly: review process improvement proposals"/>
    <x v="5"/>
    <x v="10"/>
    <d v="2026-11-14T00:00:00"/>
    <d v="2026-11-30T00:00:00"/>
    <n v="16"/>
    <x v="0"/>
    <x v="0"/>
    <s v="Owner to confirm the first milestone."/>
  </r>
  <r>
    <s v="OPS-26-0127"/>
    <s v="Regional: reorganise storage location labels"/>
    <x v="1"/>
    <x v="10"/>
    <d v="2026-11-08T00:00:00"/>
    <d v="2026-11-30T00:00:00"/>
    <n v="22"/>
    <x v="2"/>
    <x v="0"/>
    <s v="Waiting for revised requirements."/>
  </r>
  <r>
    <s v="FIN-26-0128"/>
    <s v="Customer: update cash flow assumptions"/>
    <x v="3"/>
    <x v="11"/>
    <d v="2026-09-04T00:00:00"/>
    <d v="2026-09-28T00:00:00"/>
    <n v="24"/>
    <x v="1"/>
    <x v="1"/>
    <s v="Follow-up with stakeholders is planned."/>
  </r>
  <r>
    <s v="PPL-26-0129"/>
    <s v="Monthly: check employee records"/>
    <x v="4"/>
    <x v="10"/>
    <d v="2026-09-07T00:00:00"/>
    <d v="2026-09-13T00:00:00"/>
    <n v="6"/>
    <x v="1"/>
    <x v="1"/>
    <s v="Initial review is complete."/>
  </r>
  <r>
    <s v="PPL-26-0130"/>
    <s v="FY27: update workplace policy guide"/>
    <x v="4"/>
    <x v="0"/>
    <d v="2026-09-15T00:00:00"/>
    <d v="2026-09-22T00:00:00"/>
    <n v="7"/>
    <x v="1"/>
    <x v="1"/>
    <s v="A few items still need confirmation."/>
  </r>
  <r>
    <s v="TEC-26-0131"/>
    <s v="Regional: check automated report schedule"/>
    <x v="2"/>
    <x v="10"/>
    <d v="2026-11-17T00:00:00"/>
    <d v="2026-11-30T00:00:00"/>
    <n v="13"/>
    <x v="1"/>
    <x v="0"/>
    <s v="A few items still need confirmation."/>
  </r>
  <r>
    <s v="OPS-26-0132"/>
    <s v="Internal: improve returns processing steps"/>
    <x v="1"/>
    <x v="8"/>
    <d v="2026-09-27T00:00:00"/>
    <d v="2026-10-11T00:00:00"/>
    <n v="14"/>
    <x v="1"/>
    <x v="0"/>
    <s v="Follow-up with stakeholders is planned."/>
  </r>
  <r>
    <s v="PPL-26-0133"/>
    <s v="FY27: update workplace policy guide"/>
    <x v="4"/>
    <x v="8"/>
    <d v="2026-10-22T00:00:00"/>
    <d v="2026-11-11T00:00:00"/>
    <n v="20"/>
    <x v="0"/>
    <x v="0"/>
    <s v="Waiting for the initial briefing."/>
  </r>
  <r>
    <s v="MKT-26-0134"/>
    <s v="Monthly: analyse social engagement trends"/>
    <x v="0"/>
    <x v="0"/>
    <d v="2026-09-20T00:00:00"/>
    <d v="2026-09-29T00:00:00"/>
    <n v="9"/>
    <x v="1"/>
    <x v="1"/>
    <s v="Follow-up with stakeholders is planned."/>
  </r>
  <r>
    <s v="MKT-26-0135"/>
    <s v="Phase 2: build customer email calendar"/>
    <x v="0"/>
    <x v="10"/>
    <d v="2026-11-11T00:00:00"/>
    <d v="2026-11-30T00:00:00"/>
    <n v="19"/>
    <x v="2"/>
    <x v="0"/>
    <s v="Paused pending a decision from the project lead."/>
  </r>
  <r>
    <s v="FIN-26-0136"/>
    <s v="Update cash flow assumptions"/>
    <x v="3"/>
    <x v="9"/>
    <d v="2026-10-02T00:00:00"/>
    <d v="2026-10-06T00:00:00"/>
    <n v="4"/>
    <x v="1"/>
    <x v="1"/>
    <s v="Work is underway; next update is due shortly."/>
  </r>
  <r>
    <s v="FIN-26-0137"/>
    <s v="FY27: check recurring software charges"/>
    <x v="3"/>
    <x v="3"/>
    <d v="2026-09-22T00:00:00"/>
    <d v="2026-10-03T00:00:00"/>
    <n v="11"/>
    <x v="0"/>
    <x v="1"/>
    <s v="Dependencies are being checked."/>
  </r>
  <r>
    <s v="MKT-26-0138"/>
    <s v="Customer: review campaign performance"/>
    <x v="0"/>
    <x v="4"/>
    <d v="2026-11-11T00:00:00"/>
    <d v="2026-11-30T00:00:00"/>
    <n v="19"/>
    <x v="1"/>
    <x v="0"/>
    <s v="Follow-up with stakeholders is planned."/>
  </r>
  <r>
    <s v="STR-26-0139"/>
    <s v="Internal: review process improvement proposals"/>
    <x v="5"/>
    <x v="9"/>
    <d v="2026-10-04T00:00:00"/>
    <d v="2026-10-10T00:00:00"/>
    <n v="6"/>
    <x v="2"/>
    <x v="1"/>
    <s v="Paused pending a decision from the project lead."/>
  </r>
  <r>
    <s v="OPS-26-0140"/>
    <s v="Customer: review warehouse picking workflow"/>
    <x v="1"/>
    <x v="5"/>
    <d v="2026-11-08T00:00:00"/>
    <d v="2026-11-17T00:00:00"/>
    <n v="9"/>
    <x v="3"/>
    <x v="0"/>
    <s v="Closed after team review."/>
  </r>
  <r>
    <s v="MKT-26-0141"/>
    <s v="Monthly: update website product copy"/>
    <x v="0"/>
    <x v="6"/>
    <d v="2026-09-13T00:00:00"/>
    <d v="2026-09-19T00:00:00"/>
    <n v="6"/>
    <x v="3"/>
    <x v="0"/>
    <s v="Closed after team review."/>
  </r>
  <r>
    <s v="OPS-26-0142"/>
    <s v="Coordinate regional delivery schedule"/>
    <x v="1"/>
    <x v="8"/>
    <d v="2026-09-07T00:00:00"/>
    <d v="2026-09-20T00:00:00"/>
    <n v="13"/>
    <x v="1"/>
    <x v="1"/>
    <s v="Follow-up with stakeholders is planned."/>
  </r>
  <r>
    <s v="FIN-26-0143"/>
    <s v="Customer: check recurring software charges"/>
    <x v="3"/>
    <x v="3"/>
    <d v="2026-09-09T00:00:00"/>
    <d v="2026-09-28T00:00:00"/>
    <n v="19"/>
    <x v="1"/>
    <x v="1"/>
    <s v="Progress is being tracked in the team register."/>
  </r>
  <r>
    <s v="FIN-26-0144"/>
    <s v="Internal: review project expenditure"/>
    <x v="3"/>
    <x v="0"/>
    <d v="2026-09-14T00:00:00"/>
    <d v="2026-10-06T00:00:00"/>
    <n v="22"/>
    <x v="2"/>
    <x v="1"/>
    <s v="Waiting for revised requirements."/>
  </r>
  <r>
    <s v="STR-26-0145"/>
    <s v="Customer: update annual planning assumptions"/>
    <x v="5"/>
    <x v="6"/>
    <d v="2026-09-21T00:00:00"/>
    <d v="2026-09-27T00:00:00"/>
    <n v="6"/>
    <x v="1"/>
    <x v="1"/>
    <s v="A few items still need confirmation."/>
  </r>
  <r>
    <s v="PPL-26-0146"/>
    <s v="Customer: review leave coverage plan"/>
    <x v="4"/>
    <x v="0"/>
    <d v="2026-11-09T00:00:00"/>
    <d v="2026-11-29T00:00:00"/>
    <n v="20"/>
    <x v="3"/>
    <x v="0"/>
    <s v="Closed after team review."/>
  </r>
  <r>
    <s v="PPL-26-0147"/>
    <s v="FY27: update workplace policy guide"/>
    <x v="4"/>
    <x v="9"/>
    <d v="2026-10-04T00:00:00"/>
    <d v="2026-10-11T00:00:00"/>
    <n v="7"/>
    <x v="0"/>
    <x v="0"/>
    <s v="Waiting for the initial briefing."/>
  </r>
  <r>
    <s v="TEC-26-0148"/>
    <s v="FY27: check automated report schedule"/>
    <x v="2"/>
    <x v="6"/>
    <d v="2026-10-18T00:00:00"/>
    <d v="2026-11-07T00:00:00"/>
    <n v="20"/>
    <x v="1"/>
    <x v="0"/>
    <s v="Initial review is complete."/>
  </r>
  <r>
    <s v="STR-26-0149"/>
    <s v="Monthly: prepare leadership briefing notes"/>
    <x v="5"/>
    <x v="11"/>
    <d v="2026-10-08T00:00:00"/>
    <d v="2026-11-01T00:00:00"/>
    <n v="24"/>
    <x v="1"/>
    <x v="0"/>
    <s v="Work is underway; next update is due shortly."/>
  </r>
  <r>
    <s v="MKT-26-0150"/>
    <s v="FY27: build customer email calendar"/>
    <x v="0"/>
    <x v="4"/>
    <d v="2026-10-26T00:00:00"/>
    <d v="2026-10-31T00:00:00"/>
    <n v="5"/>
    <x v="1"/>
    <x v="0"/>
    <s v="A few items still need confirmation."/>
  </r>
  <r>
    <s v="OPS-26-0151"/>
    <s v="Customer: update stock replenishment guide"/>
    <x v="1"/>
    <x v="5"/>
    <d v="2026-10-24T00:00:00"/>
    <d v="2026-11-05T00:00:00"/>
    <n v="12"/>
    <x v="3"/>
    <x v="0"/>
    <s v="Deliverable accepted by the relevant lead."/>
  </r>
  <r>
    <s v="STR-26-0152"/>
    <s v="Internal: compare competitor service offers"/>
    <x v="5"/>
    <x v="6"/>
    <d v="2026-10-11T00:00:00"/>
    <d v="2026-10-15T00:00:00"/>
    <n v="4"/>
    <x v="1"/>
    <x v="0"/>
    <s v="Work is underway; next update is due shortly."/>
  </r>
  <r>
    <s v="OPS-26-0153"/>
    <s v="Audit order dispatch records"/>
    <x v="1"/>
    <x v="7"/>
    <d v="2026-11-24T00:00:00"/>
    <d v="2026-11-26T00:00:00"/>
    <n v="2"/>
    <x v="1"/>
    <x v="0"/>
    <s v="Draft prepared and awaiting feedback."/>
  </r>
  <r>
    <s v="PPL-26-0154"/>
    <s v="Customer: prepare recruitment shortlist"/>
    <x v="4"/>
    <x v="5"/>
    <d v="2026-10-12T00:00:00"/>
    <d v="2026-10-21T00:00:00"/>
    <n v="9"/>
    <x v="1"/>
    <x v="0"/>
    <s v="Draft prepared and awaiting feedback."/>
  </r>
  <r>
    <s v="CX-26-0155"/>
    <s v="Monthly: review service quality sample"/>
    <x v="6"/>
    <x v="7"/>
    <d v="2026-10-30T00:00:00"/>
    <d v="2026-11-11T00:00:00"/>
    <n v="12"/>
    <x v="0"/>
    <x v="0"/>
    <s v="Scheduled for the next planning session."/>
  </r>
  <r>
    <s v="PPL-26-0156"/>
    <s v="Phase 2: check employee records"/>
    <x v="4"/>
    <x v="7"/>
    <d v="2026-10-28T00:00:00"/>
    <d v="2026-11-20T00:00:00"/>
    <n v="23"/>
    <x v="3"/>
    <x v="0"/>
    <s v="Checks completed; no major issues found."/>
  </r>
  <r>
    <s v="FIN-26-0157"/>
    <s v="Customer: validate purchase order records"/>
    <x v="3"/>
    <x v="2"/>
    <d v="2026-10-12T00:00:00"/>
    <d v="2026-10-23T00:00:00"/>
    <n v="11"/>
    <x v="1"/>
    <x v="0"/>
    <s v="Progress is being tracked in the team register."/>
  </r>
  <r>
    <s v="OPS-26-0158"/>
    <s v="FY27: coordinate regional delivery schedule"/>
    <x v="1"/>
    <x v="8"/>
    <d v="2026-09-15T00:00:00"/>
    <d v="2026-10-03T00:00:00"/>
    <n v="18"/>
    <x v="3"/>
    <x v="0"/>
    <s v="Closed after team review."/>
  </r>
  <r>
    <s v="FIN-26-0159"/>
    <s v="Monthly: reconcile monthly supplier invoices"/>
    <x v="3"/>
    <x v="9"/>
    <d v="2026-11-04T00:00:00"/>
    <d v="2026-11-16T00:00:00"/>
    <n v="12"/>
    <x v="3"/>
    <x v="0"/>
    <s v="Deliverable accepted by the relevant lead."/>
  </r>
  <r>
    <s v="STR-26-0160"/>
    <s v="Phase 2: update annual planning assumptions"/>
    <x v="5"/>
    <x v="9"/>
    <d v="2026-10-17T00:00:00"/>
    <d v="2026-11-02T00:00:00"/>
    <n v="16"/>
    <x v="0"/>
    <x v="0"/>
    <s v="Scheduled for the next planning session."/>
  </r>
  <r>
    <s v="PPL-26-0161"/>
    <s v="Monthly: review leave coverage plan"/>
    <x v="4"/>
    <x v="8"/>
    <d v="2026-09-06T00:00:00"/>
    <d v="2026-09-24T00:00:00"/>
    <n v="18"/>
    <x v="1"/>
    <x v="1"/>
    <s v="Progress is being tracked in the team register."/>
  </r>
  <r>
    <s v="OPS-26-0162"/>
    <s v="Monthly: document packing quality standards"/>
    <x v="1"/>
    <x v="4"/>
    <d v="2026-10-19T00:00:00"/>
    <d v="2026-10-28T00:00:00"/>
    <n v="9"/>
    <x v="2"/>
    <x v="0"/>
    <s v="Paused pending a decision from the project lead."/>
  </r>
  <r>
    <s v="MKT-26-0163"/>
    <s v="FY27: draft customer newsletter"/>
    <x v="0"/>
    <x v="2"/>
    <d v="2026-11-16T00:00:00"/>
    <d v="2026-11-21T00:00:00"/>
    <n v="5"/>
    <x v="3"/>
    <x v="0"/>
    <s v="Closed after team review."/>
  </r>
  <r>
    <s v="TEC-26-0164"/>
    <s v="Internal: resolve spreadsheet validation issues"/>
    <x v="2"/>
    <x v="9"/>
    <d v="2026-09-16T00:00:00"/>
    <d v="2026-09-24T00:00:00"/>
    <n v="8"/>
    <x v="1"/>
    <x v="1"/>
    <s v="Progress is being tracked in the team register."/>
  </r>
  <r>
    <s v="CX-26-0165"/>
    <s v="Phase 2: refresh help centre articles"/>
    <x v="6"/>
    <x v="10"/>
    <d v="2026-10-02T00:00:00"/>
    <d v="2026-10-19T00:00:00"/>
    <n v="17"/>
    <x v="3"/>
    <x v="0"/>
    <s v="Checks completed; no major issues found."/>
  </r>
  <r>
    <s v="MKT-26-0166"/>
    <s v="Refresh campaign tracking sheet"/>
    <x v="0"/>
    <x v="0"/>
    <d v="2026-10-22T00:00:00"/>
    <d v="2026-11-09T00:00:00"/>
    <n v="18"/>
    <x v="1"/>
    <x v="0"/>
    <s v="Follow-up with stakeholders is planned."/>
  </r>
  <r>
    <s v="TEC-26-0167"/>
    <s v="Phase 2: update application support notes"/>
    <x v="2"/>
    <x v="10"/>
    <d v="2026-09-08T00:00:00"/>
    <d v="2026-09-23T00:00:00"/>
    <n v="15"/>
    <x v="1"/>
    <x v="1"/>
    <s v="Draft prepared and awaiting feedback."/>
  </r>
  <r>
    <s v="STR-26-0168"/>
    <s v="Internal: prepare leadership briefing notes"/>
    <x v="5"/>
    <x v="5"/>
    <d v="2026-11-03T00:00:00"/>
    <d v="2026-11-22T00:00:00"/>
    <n v="19"/>
    <x v="1"/>
    <x v="0"/>
    <s v="Initial review is complete."/>
  </r>
  <r>
    <s v="OPS-26-0169"/>
    <s v="FY27: audit order dispatch records"/>
    <x v="1"/>
    <x v="8"/>
    <d v="2026-09-18T00:00:00"/>
    <d v="2026-10-07T00:00:00"/>
    <n v="19"/>
    <x v="3"/>
    <x v="0"/>
    <s v="Checks completed; no major issues found."/>
  </r>
  <r>
    <s v="STR-26-0170"/>
    <s v="FY27: compare competitor service offers"/>
    <x v="5"/>
    <x v="10"/>
    <d v="2026-10-03T00:00:00"/>
    <d v="2026-10-16T00:00:00"/>
    <n v="13"/>
    <x v="2"/>
    <x v="0"/>
    <s v="Blocked by an external dependency."/>
  </r>
  <r>
    <s v="PPL-26-0171"/>
    <s v="Monthly: plan quarterly recognition activity"/>
    <x v="4"/>
    <x v="1"/>
    <d v="2026-09-30T00:00:00"/>
    <d v="2026-10-14T00:00:00"/>
    <n v="14"/>
    <x v="1"/>
    <x v="0"/>
    <s v="Follow-up with stakeholders is planned."/>
  </r>
  <r>
    <s v="TEC-26-0172"/>
    <s v="Monthly: test reporting dashboard filters"/>
    <x v="2"/>
    <x v="2"/>
    <d v="2026-09-06T00:00:00"/>
    <d v="2026-09-10T00:00:00"/>
    <n v="4"/>
    <x v="1"/>
    <x v="1"/>
    <s v="Progress is being tracked in the team register."/>
  </r>
  <r>
    <s v="CX-26-0173"/>
    <s v="FY27: identify repeat contact drivers"/>
    <x v="6"/>
    <x v="3"/>
    <d v="2026-10-29T00:00:00"/>
    <d v="2026-11-09T00:00:00"/>
    <n v="11"/>
    <x v="1"/>
    <x v="0"/>
    <s v="A few items still need confirmation."/>
  </r>
  <r>
    <s v="STR-26-0174"/>
    <s v="Monthly: compile market trend summary"/>
    <x v="5"/>
    <x v="11"/>
    <d v="2026-11-16T00:00:00"/>
    <d v="2026-11-27T00:00:00"/>
    <n v="11"/>
    <x v="1"/>
    <x v="0"/>
    <s v="Initial review is complete."/>
  </r>
  <r>
    <s v="PPL-26-0175"/>
    <s v="Phase 2: collect induction feedback"/>
    <x v="4"/>
    <x v="9"/>
    <d v="2026-11-02T00:00:00"/>
    <d v="2026-11-22T00:00:00"/>
    <n v="20"/>
    <x v="0"/>
    <x v="0"/>
    <s v="Waiting for the initial briefing."/>
  </r>
  <r>
    <s v="FIN-26-0176"/>
    <s v="Customer: validate purchase order records"/>
    <x v="3"/>
    <x v="11"/>
    <d v="2026-10-30T00:00:00"/>
    <d v="2026-11-14T00:00:00"/>
    <n v="15"/>
    <x v="1"/>
    <x v="0"/>
    <s v="A few items still need confirmation."/>
  </r>
  <r>
    <s v="TEC-26-0177"/>
    <s v="Clean customer data extract"/>
    <x v="2"/>
    <x v="6"/>
    <d v="2026-09-09T00:00:00"/>
    <d v="2026-09-20T00:00:00"/>
    <n v="11"/>
    <x v="1"/>
    <x v="1"/>
    <s v="Initial review is complete."/>
  </r>
  <r>
    <s v="FIN-26-0178"/>
    <s v="Customer: review project expenditure"/>
    <x v="3"/>
    <x v="8"/>
    <d v="2026-10-03T00:00:00"/>
    <d v="2026-10-13T00:00:00"/>
    <n v="10"/>
    <x v="1"/>
    <x v="0"/>
    <s v="Initial review is complete."/>
  </r>
  <r>
    <s v="TEC-26-0179"/>
    <s v="Regional: update application support notes"/>
    <x v="2"/>
    <x v="4"/>
    <d v="2026-11-17T00:00:00"/>
    <d v="2026-11-19T00:00:00"/>
    <n v="2"/>
    <x v="2"/>
    <x v="0"/>
    <s v="Blocked by an external dependency."/>
  </r>
  <r>
    <s v="MKT-26-0180"/>
    <s v="Coordinate creative asset review"/>
    <x v="0"/>
    <x v="3"/>
    <d v="2026-09-22T00:00:00"/>
    <d v="2026-10-14T00:00:00"/>
    <n v="22"/>
    <x v="1"/>
    <x v="0"/>
    <s v="Initial review is complete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8E818-7663-4C5B-A255-DEEAB8D03145}" name="PivotTable2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5:B43" firstHeaderRow="1" firstDataRow="1" firstDataCol="1"/>
  <pivotFields count="10">
    <pivotField dataField="1" compact="0" outline="0" showAll="0"/>
    <pivotField compact="0" outline="0" showAll="0"/>
    <pivotField axis="axisRow" compact="0" outline="0" showAll="0">
      <items count="8">
        <item x="6"/>
        <item x="3"/>
        <item x="0"/>
        <item x="1"/>
        <item x="4"/>
        <item x="5"/>
        <item x="2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ork Item ID" fld="0" subtotal="count" baseField="0" baseItem="0"/>
  </dataField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583C4-7292-4CEB-83FD-1B1590F3994A}" name="PivotTable1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6:B31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64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ork Item ID" fld="0" subtotal="count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A6B99-FC21-4DC7-8659-41F335554A2A}" name="PivotTable3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7:F54" firstHeaderRow="1" firstDataRow="2" firstDataCol="1"/>
  <pivotFields count="10">
    <pivotField dataField="1" compact="0" outline="0" showAll="0"/>
    <pivotField compact="0" outline="0" showAll="0"/>
    <pivotField compact="0" outline="0" showAll="0"/>
    <pivotField axis="axisRow" compact="0" outline="0" showAll="0" measureFilter="1" sortType="descending">
      <items count="13">
        <item x="9"/>
        <item x="6"/>
        <item x="0"/>
        <item x="10"/>
        <item x="7"/>
        <item x="11"/>
        <item x="5"/>
        <item x="3"/>
        <item x="2"/>
        <item x="4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numFmtId="14" outline="0" showAll="0"/>
    <pivotField compact="0" numFmtId="164" outline="0" showAll="0"/>
    <pivotField axis="axisCol" compact="0" outline="0" showAll="0" sortType="ascending">
      <items count="5">
        <item x="3"/>
        <item x="1"/>
        <item x="0"/>
        <item x="2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</pivotFields>
  <rowFields count="1">
    <field x="3"/>
  </rowFields>
  <rowItems count="6">
    <i>
      <x/>
    </i>
    <i>
      <x v="2"/>
    </i>
    <i>
      <x v="5"/>
    </i>
    <i>
      <x v="10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ork Item ID" fld="0" subtotal="count" baseField="0" baseItem="0"/>
  </dataFields>
  <formats count="1">
    <format dxfId="0">
      <pivotArea type="origin" dataOnly="0" labelOnly="1" outline="0" fieldPosition="0"/>
    </format>
  </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opLeftCell="A108" workbookViewId="0">
      <selection activeCell="G184" sqref="G184"/>
    </sheetView>
  </sheetViews>
  <sheetFormatPr defaultRowHeight="15"/>
  <cols>
    <col min="1" max="1" width="17" customWidth="1"/>
    <col min="2" max="2" width="43" customWidth="1"/>
    <col min="3" max="3" width="22" customWidth="1"/>
    <col min="4" max="4" width="20" customWidth="1"/>
    <col min="5" max="6" width="16" style="9" customWidth="1"/>
    <col min="7" max="7" width="21" style="6" customWidth="1"/>
    <col min="8" max="8" width="18" customWidth="1"/>
    <col min="9" max="9" width="15" customWidth="1"/>
    <col min="10" max="10" width="4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7" t="s">
        <v>5</v>
      </c>
      <c r="G1" s="4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2" t="s">
        <v>12</v>
      </c>
      <c r="D2" s="2" t="s">
        <v>13</v>
      </c>
      <c r="E2" s="8">
        <v>46309</v>
      </c>
      <c r="F2" s="8">
        <v>46319</v>
      </c>
      <c r="G2" s="5">
        <f>F2-E2</f>
        <v>10</v>
      </c>
      <c r="H2" s="2" t="s">
        <v>14</v>
      </c>
      <c r="I2" s="2" t="b">
        <f ca="1">AND(H2&lt;&gt;"Completed",F2&lt;TODAY())</f>
        <v>0</v>
      </c>
      <c r="J2" s="3" t="s">
        <v>15</v>
      </c>
    </row>
    <row r="3" spans="1:10">
      <c r="A3" s="2" t="s">
        <v>16</v>
      </c>
      <c r="B3" s="3" t="s">
        <v>17</v>
      </c>
      <c r="C3" s="2" t="s">
        <v>18</v>
      </c>
      <c r="D3" s="2" t="s">
        <v>19</v>
      </c>
      <c r="E3" s="8">
        <v>46351</v>
      </c>
      <c r="F3" s="8">
        <v>46356</v>
      </c>
      <c r="G3" s="5">
        <f t="shared" ref="G3:G66" si="0">F3-E3</f>
        <v>5</v>
      </c>
      <c r="H3" s="2" t="s">
        <v>20</v>
      </c>
      <c r="I3" s="2" t="b">
        <f t="shared" ref="I3:I66" ca="1" si="1">AND(H3&lt;&gt;"Completed",F3&lt;TODAY())</f>
        <v>0</v>
      </c>
      <c r="J3" s="3" t="s">
        <v>21</v>
      </c>
    </row>
    <row r="4" spans="1:10">
      <c r="A4" s="2" t="s">
        <v>22</v>
      </c>
      <c r="B4" s="3" t="s">
        <v>23</v>
      </c>
      <c r="C4" s="2" t="s">
        <v>24</v>
      </c>
      <c r="D4" s="2" t="s">
        <v>25</v>
      </c>
      <c r="E4" s="8">
        <v>46269</v>
      </c>
      <c r="F4" s="8">
        <v>46271</v>
      </c>
      <c r="G4" s="5">
        <f t="shared" si="0"/>
        <v>2</v>
      </c>
      <c r="H4" s="2" t="s">
        <v>20</v>
      </c>
      <c r="I4" s="2" t="b">
        <f t="shared" ca="1" si="1"/>
        <v>1</v>
      </c>
      <c r="J4" s="3" t="s">
        <v>26</v>
      </c>
    </row>
    <row r="5" spans="1:10">
      <c r="A5" s="2" t="s">
        <v>27</v>
      </c>
      <c r="B5" s="3" t="s">
        <v>28</v>
      </c>
      <c r="C5" s="2" t="s">
        <v>29</v>
      </c>
      <c r="D5" s="2" t="s">
        <v>30</v>
      </c>
      <c r="E5" s="8">
        <v>46324</v>
      </c>
      <c r="F5" s="8">
        <v>46345</v>
      </c>
      <c r="G5" s="5">
        <f t="shared" si="0"/>
        <v>21</v>
      </c>
      <c r="H5" s="2" t="s">
        <v>20</v>
      </c>
      <c r="I5" s="2" t="b">
        <f t="shared" ca="1" si="1"/>
        <v>0</v>
      </c>
      <c r="J5" s="3" t="s">
        <v>31</v>
      </c>
    </row>
    <row r="6" spans="1:10">
      <c r="A6" s="2" t="s">
        <v>32</v>
      </c>
      <c r="B6" s="3" t="s">
        <v>33</v>
      </c>
      <c r="C6" s="2" t="s">
        <v>12</v>
      </c>
      <c r="D6" s="2" t="s">
        <v>13</v>
      </c>
      <c r="E6" s="8">
        <v>46291</v>
      </c>
      <c r="F6" s="8">
        <v>46302</v>
      </c>
      <c r="G6" s="5">
        <f t="shared" si="0"/>
        <v>11</v>
      </c>
      <c r="H6" s="2" t="s">
        <v>20</v>
      </c>
      <c r="I6" s="2" t="b">
        <f t="shared" ca="1" si="1"/>
        <v>1</v>
      </c>
      <c r="J6" s="3" t="s">
        <v>21</v>
      </c>
    </row>
    <row r="7" spans="1:10">
      <c r="A7" s="2" t="s">
        <v>34</v>
      </c>
      <c r="B7" s="3" t="s">
        <v>35</v>
      </c>
      <c r="C7" s="2" t="s">
        <v>18</v>
      </c>
      <c r="D7" s="2" t="s">
        <v>36</v>
      </c>
      <c r="E7" s="8">
        <v>46323</v>
      </c>
      <c r="F7" s="8">
        <v>46327</v>
      </c>
      <c r="G7" s="5">
        <f t="shared" si="0"/>
        <v>4</v>
      </c>
      <c r="H7" s="2" t="s">
        <v>37</v>
      </c>
      <c r="I7" s="2" t="b">
        <f t="shared" ca="1" si="1"/>
        <v>0</v>
      </c>
      <c r="J7" s="3" t="s">
        <v>38</v>
      </c>
    </row>
    <row r="8" spans="1:10">
      <c r="A8" s="2" t="s">
        <v>39</v>
      </c>
      <c r="B8" s="3" t="s">
        <v>40</v>
      </c>
      <c r="C8" s="2" t="s">
        <v>41</v>
      </c>
      <c r="D8" s="2" t="s">
        <v>42</v>
      </c>
      <c r="E8" s="8">
        <v>46306</v>
      </c>
      <c r="F8" s="8">
        <v>46322</v>
      </c>
      <c r="G8" s="5">
        <f t="shared" si="0"/>
        <v>16</v>
      </c>
      <c r="H8" s="2" t="s">
        <v>43</v>
      </c>
      <c r="I8" s="2" t="b">
        <f t="shared" ca="1" si="1"/>
        <v>0</v>
      </c>
      <c r="J8" s="3" t="s">
        <v>44</v>
      </c>
    </row>
    <row r="9" spans="1:10">
      <c r="A9" s="2" t="s">
        <v>45</v>
      </c>
      <c r="B9" s="3" t="s">
        <v>46</v>
      </c>
      <c r="C9" s="2" t="s">
        <v>18</v>
      </c>
      <c r="D9" s="2" t="s">
        <v>25</v>
      </c>
      <c r="E9" s="8">
        <v>46295</v>
      </c>
      <c r="F9" s="8">
        <v>46297</v>
      </c>
      <c r="G9" s="5">
        <f t="shared" si="0"/>
        <v>2</v>
      </c>
      <c r="H9" s="2" t="s">
        <v>43</v>
      </c>
      <c r="I9" s="2" t="b">
        <f t="shared" ca="1" si="1"/>
        <v>0</v>
      </c>
      <c r="J9" s="3" t="s">
        <v>47</v>
      </c>
    </row>
    <row r="10" spans="1:10">
      <c r="A10" s="2" t="s">
        <v>48</v>
      </c>
      <c r="B10" s="3" t="s">
        <v>49</v>
      </c>
      <c r="C10" s="2" t="s">
        <v>50</v>
      </c>
      <c r="D10" s="2" t="s">
        <v>13</v>
      </c>
      <c r="E10" s="8">
        <v>46304</v>
      </c>
      <c r="F10" s="8">
        <v>46315</v>
      </c>
      <c r="G10" s="5">
        <f t="shared" si="0"/>
        <v>11</v>
      </c>
      <c r="H10" s="2" t="s">
        <v>20</v>
      </c>
      <c r="I10" s="2" t="b">
        <f t="shared" ca="1" si="1"/>
        <v>0</v>
      </c>
      <c r="J10" s="3" t="s">
        <v>26</v>
      </c>
    </row>
    <row r="11" spans="1:10">
      <c r="A11" s="2" t="s">
        <v>51</v>
      </c>
      <c r="B11" s="3" t="s">
        <v>52</v>
      </c>
      <c r="C11" s="2" t="s">
        <v>53</v>
      </c>
      <c r="D11" s="2" t="s">
        <v>54</v>
      </c>
      <c r="E11" s="8">
        <v>46312</v>
      </c>
      <c r="F11" s="8">
        <v>46327</v>
      </c>
      <c r="G11" s="5">
        <f t="shared" si="0"/>
        <v>15</v>
      </c>
      <c r="H11" s="2" t="s">
        <v>20</v>
      </c>
      <c r="I11" s="2" t="b">
        <f t="shared" ca="1" si="1"/>
        <v>0</v>
      </c>
      <c r="J11" s="3" t="s">
        <v>55</v>
      </c>
    </row>
    <row r="12" spans="1:10">
      <c r="A12" s="2" t="s">
        <v>56</v>
      </c>
      <c r="B12" s="3" t="s">
        <v>57</v>
      </c>
      <c r="C12" s="2" t="s">
        <v>18</v>
      </c>
      <c r="D12" s="2" t="s">
        <v>58</v>
      </c>
      <c r="E12" s="8">
        <v>46327</v>
      </c>
      <c r="F12" s="8">
        <v>46331</v>
      </c>
      <c r="G12" s="5">
        <f t="shared" si="0"/>
        <v>4</v>
      </c>
      <c r="H12" s="2" t="s">
        <v>20</v>
      </c>
      <c r="I12" s="2" t="b">
        <f t="shared" ca="1" si="1"/>
        <v>0</v>
      </c>
      <c r="J12" s="3" t="s">
        <v>31</v>
      </c>
    </row>
    <row r="13" spans="1:10">
      <c r="A13" s="2" t="s">
        <v>59</v>
      </c>
      <c r="B13" s="3" t="s">
        <v>60</v>
      </c>
      <c r="C13" s="2" t="s">
        <v>24</v>
      </c>
      <c r="D13" s="2" t="s">
        <v>30</v>
      </c>
      <c r="E13" s="8">
        <v>46337</v>
      </c>
      <c r="F13" s="8">
        <v>46347</v>
      </c>
      <c r="G13" s="5">
        <f t="shared" si="0"/>
        <v>10</v>
      </c>
      <c r="H13" s="2" t="s">
        <v>43</v>
      </c>
      <c r="I13" s="2" t="b">
        <f t="shared" ca="1" si="1"/>
        <v>0</v>
      </c>
      <c r="J13" s="3" t="s">
        <v>61</v>
      </c>
    </row>
    <row r="14" spans="1:10">
      <c r="A14" s="2" t="s">
        <v>62</v>
      </c>
      <c r="B14" s="3" t="s">
        <v>63</v>
      </c>
      <c r="C14" s="2" t="s">
        <v>12</v>
      </c>
      <c r="D14" s="2" t="s">
        <v>58</v>
      </c>
      <c r="E14" s="8">
        <v>46343</v>
      </c>
      <c r="F14" s="8">
        <v>46356</v>
      </c>
      <c r="G14" s="5">
        <f t="shared" si="0"/>
        <v>13</v>
      </c>
      <c r="H14" s="2" t="s">
        <v>43</v>
      </c>
      <c r="I14" s="2" t="b">
        <f t="shared" ca="1" si="1"/>
        <v>0</v>
      </c>
      <c r="J14" s="3" t="s">
        <v>44</v>
      </c>
    </row>
    <row r="15" spans="1:10">
      <c r="A15" s="2" t="s">
        <v>64</v>
      </c>
      <c r="B15" s="3" t="s">
        <v>65</v>
      </c>
      <c r="C15" s="2" t="s">
        <v>24</v>
      </c>
      <c r="D15" s="2" t="s">
        <v>30</v>
      </c>
      <c r="E15" s="8">
        <v>46328</v>
      </c>
      <c r="F15" s="8">
        <v>46333</v>
      </c>
      <c r="G15" s="5">
        <f t="shared" si="0"/>
        <v>5</v>
      </c>
      <c r="H15" s="2" t="s">
        <v>20</v>
      </c>
      <c r="I15" s="2" t="b">
        <f t="shared" ca="1" si="1"/>
        <v>0</v>
      </c>
      <c r="J15" s="3" t="s">
        <v>31</v>
      </c>
    </row>
    <row r="16" spans="1:10">
      <c r="A16" s="2" t="s">
        <v>66</v>
      </c>
      <c r="B16" s="3" t="s">
        <v>67</v>
      </c>
      <c r="C16" s="2" t="s">
        <v>12</v>
      </c>
      <c r="D16" s="2" t="s">
        <v>54</v>
      </c>
      <c r="E16" s="8">
        <v>46317</v>
      </c>
      <c r="F16" s="8">
        <v>46325</v>
      </c>
      <c r="G16" s="5">
        <f t="shared" si="0"/>
        <v>8</v>
      </c>
      <c r="H16" s="2" t="s">
        <v>20</v>
      </c>
      <c r="I16" s="2" t="b">
        <f t="shared" ca="1" si="1"/>
        <v>0</v>
      </c>
      <c r="J16" s="3" t="s">
        <v>21</v>
      </c>
    </row>
    <row r="17" spans="1:10">
      <c r="A17" s="2" t="s">
        <v>68</v>
      </c>
      <c r="B17" s="3" t="s">
        <v>69</v>
      </c>
      <c r="C17" s="2" t="s">
        <v>18</v>
      </c>
      <c r="D17" s="2" t="s">
        <v>36</v>
      </c>
      <c r="E17" s="8">
        <v>46270</v>
      </c>
      <c r="F17" s="8">
        <v>46286</v>
      </c>
      <c r="G17" s="5">
        <f t="shared" si="0"/>
        <v>16</v>
      </c>
      <c r="H17" s="2" t="s">
        <v>20</v>
      </c>
      <c r="I17" s="2" t="b">
        <f t="shared" ca="1" si="1"/>
        <v>1</v>
      </c>
      <c r="J17" s="3" t="s">
        <v>21</v>
      </c>
    </row>
    <row r="18" spans="1:10">
      <c r="A18" s="2" t="s">
        <v>70</v>
      </c>
      <c r="B18" s="3" t="s">
        <v>71</v>
      </c>
      <c r="C18" s="2" t="s">
        <v>12</v>
      </c>
      <c r="D18" s="2" t="s">
        <v>36</v>
      </c>
      <c r="E18" s="8">
        <v>46293</v>
      </c>
      <c r="F18" s="8">
        <v>46298</v>
      </c>
      <c r="G18" s="5">
        <f t="shared" si="0"/>
        <v>5</v>
      </c>
      <c r="H18" s="2" t="s">
        <v>20</v>
      </c>
      <c r="I18" s="2" t="b">
        <f t="shared" ca="1" si="1"/>
        <v>1</v>
      </c>
      <c r="J18" s="3" t="s">
        <v>72</v>
      </c>
    </row>
    <row r="19" spans="1:10">
      <c r="A19" s="2" t="s">
        <v>73</v>
      </c>
      <c r="B19" s="3" t="s">
        <v>74</v>
      </c>
      <c r="C19" s="2" t="s">
        <v>41</v>
      </c>
      <c r="D19" s="2" t="s">
        <v>42</v>
      </c>
      <c r="E19" s="8">
        <v>46272</v>
      </c>
      <c r="F19" s="8">
        <v>46295</v>
      </c>
      <c r="G19" s="5">
        <f t="shared" si="0"/>
        <v>23</v>
      </c>
      <c r="H19" s="2" t="s">
        <v>20</v>
      </c>
      <c r="I19" s="2" t="b">
        <f t="shared" ca="1" si="1"/>
        <v>1</v>
      </c>
      <c r="J19" s="3" t="s">
        <v>26</v>
      </c>
    </row>
    <row r="20" spans="1:10">
      <c r="A20" s="2" t="s">
        <v>75</v>
      </c>
      <c r="B20" s="3" t="s">
        <v>76</v>
      </c>
      <c r="C20" s="2" t="s">
        <v>41</v>
      </c>
      <c r="D20" s="2" t="s">
        <v>19</v>
      </c>
      <c r="E20" s="8">
        <v>46298</v>
      </c>
      <c r="F20" s="8">
        <v>46300</v>
      </c>
      <c r="G20" s="5">
        <f t="shared" si="0"/>
        <v>2</v>
      </c>
      <c r="H20" s="2" t="s">
        <v>37</v>
      </c>
      <c r="I20" s="2" t="b">
        <f t="shared" ca="1" si="1"/>
        <v>1</v>
      </c>
      <c r="J20" s="3" t="s">
        <v>77</v>
      </c>
    </row>
    <row r="21" spans="1:10">
      <c r="A21" s="2" t="s">
        <v>78</v>
      </c>
      <c r="B21" s="3" t="s">
        <v>67</v>
      </c>
      <c r="C21" s="2" t="s">
        <v>12</v>
      </c>
      <c r="D21" s="2" t="s">
        <v>79</v>
      </c>
      <c r="E21" s="8">
        <v>46305</v>
      </c>
      <c r="F21" s="8">
        <v>46317</v>
      </c>
      <c r="G21" s="5">
        <f t="shared" si="0"/>
        <v>12</v>
      </c>
      <c r="H21" s="2" t="s">
        <v>43</v>
      </c>
      <c r="I21" s="2" t="b">
        <f t="shared" ca="1" si="1"/>
        <v>0</v>
      </c>
      <c r="J21" s="3" t="s">
        <v>61</v>
      </c>
    </row>
    <row r="22" spans="1:10">
      <c r="A22" s="2" t="s">
        <v>80</v>
      </c>
      <c r="B22" s="3" t="s">
        <v>81</v>
      </c>
      <c r="C22" s="2" t="s">
        <v>41</v>
      </c>
      <c r="D22" s="2" t="s">
        <v>19</v>
      </c>
      <c r="E22" s="8">
        <v>46327</v>
      </c>
      <c r="F22" s="8">
        <v>46342</v>
      </c>
      <c r="G22" s="5">
        <f t="shared" si="0"/>
        <v>15</v>
      </c>
      <c r="H22" s="2" t="s">
        <v>43</v>
      </c>
      <c r="I22" s="2" t="b">
        <f t="shared" ca="1" si="1"/>
        <v>0</v>
      </c>
      <c r="J22" s="3" t="s">
        <v>44</v>
      </c>
    </row>
    <row r="23" spans="1:10">
      <c r="A23" s="2" t="s">
        <v>82</v>
      </c>
      <c r="B23" s="3" t="s">
        <v>83</v>
      </c>
      <c r="C23" s="2" t="s">
        <v>24</v>
      </c>
      <c r="D23" s="2" t="s">
        <v>36</v>
      </c>
      <c r="E23" s="8">
        <v>46345</v>
      </c>
      <c r="F23" s="8">
        <v>46356</v>
      </c>
      <c r="G23" s="5">
        <f t="shared" si="0"/>
        <v>11</v>
      </c>
      <c r="H23" s="2" t="s">
        <v>14</v>
      </c>
      <c r="I23" s="2" t="b">
        <f t="shared" ca="1" si="1"/>
        <v>0</v>
      </c>
      <c r="J23" s="3" t="s">
        <v>84</v>
      </c>
    </row>
    <row r="24" spans="1:10">
      <c r="A24" s="2" t="s">
        <v>85</v>
      </c>
      <c r="B24" s="3" t="s">
        <v>86</v>
      </c>
      <c r="C24" s="2" t="s">
        <v>24</v>
      </c>
      <c r="D24" s="2" t="s">
        <v>87</v>
      </c>
      <c r="E24" s="8">
        <v>46335</v>
      </c>
      <c r="F24" s="8">
        <v>46339</v>
      </c>
      <c r="G24" s="5">
        <f t="shared" si="0"/>
        <v>4</v>
      </c>
      <c r="H24" s="2" t="s">
        <v>20</v>
      </c>
      <c r="I24" s="2" t="b">
        <f t="shared" ca="1" si="1"/>
        <v>0</v>
      </c>
      <c r="J24" s="3" t="s">
        <v>72</v>
      </c>
    </row>
    <row r="25" spans="1:10" ht="30.75">
      <c r="A25" s="2" t="s">
        <v>88</v>
      </c>
      <c r="B25" s="3" t="s">
        <v>89</v>
      </c>
      <c r="C25" s="2" t="s">
        <v>50</v>
      </c>
      <c r="D25" s="2" t="s">
        <v>13</v>
      </c>
      <c r="E25" s="8">
        <v>46330</v>
      </c>
      <c r="F25" s="8">
        <v>46352</v>
      </c>
      <c r="G25" s="5">
        <f t="shared" si="0"/>
        <v>22</v>
      </c>
      <c r="H25" s="2" t="s">
        <v>20</v>
      </c>
      <c r="I25" s="2" t="b">
        <f t="shared" ca="1" si="1"/>
        <v>0</v>
      </c>
      <c r="J25" s="3" t="s">
        <v>31</v>
      </c>
    </row>
    <row r="26" spans="1:10">
      <c r="A26" s="2" t="s">
        <v>90</v>
      </c>
      <c r="B26" s="3" t="s">
        <v>91</v>
      </c>
      <c r="C26" s="2" t="s">
        <v>29</v>
      </c>
      <c r="D26" s="2" t="s">
        <v>87</v>
      </c>
      <c r="E26" s="8">
        <v>46318</v>
      </c>
      <c r="F26" s="8">
        <v>46324</v>
      </c>
      <c r="G26" s="5">
        <f t="shared" si="0"/>
        <v>6</v>
      </c>
      <c r="H26" s="2" t="s">
        <v>43</v>
      </c>
      <c r="I26" s="2" t="b">
        <f t="shared" ca="1" si="1"/>
        <v>0</v>
      </c>
      <c r="J26" s="3" t="s">
        <v>61</v>
      </c>
    </row>
    <row r="27" spans="1:10">
      <c r="A27" s="2" t="s">
        <v>92</v>
      </c>
      <c r="B27" s="3" t="s">
        <v>93</v>
      </c>
      <c r="C27" s="2" t="s">
        <v>24</v>
      </c>
      <c r="D27" s="2" t="s">
        <v>36</v>
      </c>
      <c r="E27" s="8">
        <v>46296</v>
      </c>
      <c r="F27" s="8">
        <v>46314</v>
      </c>
      <c r="G27" s="5">
        <f t="shared" si="0"/>
        <v>18</v>
      </c>
      <c r="H27" s="2" t="s">
        <v>43</v>
      </c>
      <c r="I27" s="2" t="b">
        <f t="shared" ca="1" si="1"/>
        <v>0</v>
      </c>
      <c r="J27" s="3" t="s">
        <v>94</v>
      </c>
    </row>
    <row r="28" spans="1:10">
      <c r="A28" s="2" t="s">
        <v>95</v>
      </c>
      <c r="B28" s="3" t="s">
        <v>96</v>
      </c>
      <c r="C28" s="2" t="s">
        <v>29</v>
      </c>
      <c r="D28" s="2" t="s">
        <v>87</v>
      </c>
      <c r="E28" s="8">
        <v>46342</v>
      </c>
      <c r="F28" s="8">
        <v>46349</v>
      </c>
      <c r="G28" s="5">
        <f t="shared" si="0"/>
        <v>7</v>
      </c>
      <c r="H28" s="2" t="s">
        <v>43</v>
      </c>
      <c r="I28" s="2" t="b">
        <f t="shared" ca="1" si="1"/>
        <v>0</v>
      </c>
      <c r="J28" s="3" t="s">
        <v>61</v>
      </c>
    </row>
    <row r="29" spans="1:10">
      <c r="A29" s="2" t="s">
        <v>97</v>
      </c>
      <c r="B29" s="3" t="s">
        <v>98</v>
      </c>
      <c r="C29" s="2" t="s">
        <v>18</v>
      </c>
      <c r="D29" s="2" t="s">
        <v>58</v>
      </c>
      <c r="E29" s="8">
        <v>46288</v>
      </c>
      <c r="F29" s="8">
        <v>46298</v>
      </c>
      <c r="G29" s="5">
        <f t="shared" si="0"/>
        <v>10</v>
      </c>
      <c r="H29" s="2" t="s">
        <v>37</v>
      </c>
      <c r="I29" s="2" t="b">
        <f t="shared" ca="1" si="1"/>
        <v>1</v>
      </c>
      <c r="J29" s="3" t="s">
        <v>77</v>
      </c>
    </row>
    <row r="30" spans="1:10">
      <c r="A30" s="2" t="s">
        <v>99</v>
      </c>
      <c r="B30" s="3" t="s">
        <v>100</v>
      </c>
      <c r="C30" s="2" t="s">
        <v>24</v>
      </c>
      <c r="D30" s="2" t="s">
        <v>13</v>
      </c>
      <c r="E30" s="8">
        <v>46279</v>
      </c>
      <c r="F30" s="8">
        <v>46299</v>
      </c>
      <c r="G30" s="5">
        <f t="shared" si="0"/>
        <v>20</v>
      </c>
      <c r="H30" s="2" t="s">
        <v>20</v>
      </c>
      <c r="I30" s="2" t="b">
        <f t="shared" ca="1" si="1"/>
        <v>1</v>
      </c>
      <c r="J30" s="3" t="s">
        <v>26</v>
      </c>
    </row>
    <row r="31" spans="1:10">
      <c r="A31" s="2" t="s">
        <v>101</v>
      </c>
      <c r="B31" s="3" t="s">
        <v>102</v>
      </c>
      <c r="C31" s="2" t="s">
        <v>18</v>
      </c>
      <c r="D31" s="2" t="s">
        <v>36</v>
      </c>
      <c r="E31" s="8">
        <v>46293</v>
      </c>
      <c r="F31" s="8">
        <v>46301</v>
      </c>
      <c r="G31" s="5">
        <f t="shared" si="0"/>
        <v>8</v>
      </c>
      <c r="H31" s="2" t="s">
        <v>43</v>
      </c>
      <c r="I31" s="2" t="b">
        <f t="shared" ca="1" si="1"/>
        <v>0</v>
      </c>
      <c r="J31" s="3" t="s">
        <v>44</v>
      </c>
    </row>
    <row r="32" spans="1:10">
      <c r="A32" s="2" t="s">
        <v>103</v>
      </c>
      <c r="B32" s="3" t="s">
        <v>104</v>
      </c>
      <c r="C32" s="2" t="s">
        <v>18</v>
      </c>
      <c r="D32" s="2" t="s">
        <v>13</v>
      </c>
      <c r="E32" s="8">
        <v>46323</v>
      </c>
      <c r="F32" s="8">
        <v>46345</v>
      </c>
      <c r="G32" s="5">
        <f t="shared" si="0"/>
        <v>22</v>
      </c>
      <c r="H32" s="2" t="s">
        <v>43</v>
      </c>
      <c r="I32" s="2" t="b">
        <f t="shared" ca="1" si="1"/>
        <v>0</v>
      </c>
      <c r="J32" s="3" t="s">
        <v>61</v>
      </c>
    </row>
    <row r="33" spans="1:10">
      <c r="A33" s="2" t="s">
        <v>105</v>
      </c>
      <c r="B33" s="3" t="s">
        <v>83</v>
      </c>
      <c r="C33" s="2" t="s">
        <v>24</v>
      </c>
      <c r="D33" s="2" t="s">
        <v>13</v>
      </c>
      <c r="E33" s="8">
        <v>46277</v>
      </c>
      <c r="F33" s="8">
        <v>46295</v>
      </c>
      <c r="G33" s="5">
        <f t="shared" si="0"/>
        <v>18</v>
      </c>
      <c r="H33" s="2" t="s">
        <v>20</v>
      </c>
      <c r="I33" s="2" t="b">
        <f t="shared" ca="1" si="1"/>
        <v>1</v>
      </c>
      <c r="J33" s="3" t="s">
        <v>21</v>
      </c>
    </row>
    <row r="34" spans="1:10">
      <c r="A34" s="2" t="s">
        <v>106</v>
      </c>
      <c r="B34" s="3" t="s">
        <v>107</v>
      </c>
      <c r="C34" s="2" t="s">
        <v>29</v>
      </c>
      <c r="D34" s="2" t="s">
        <v>87</v>
      </c>
      <c r="E34" s="8">
        <v>46319</v>
      </c>
      <c r="F34" s="8">
        <v>46342</v>
      </c>
      <c r="G34" s="5">
        <f t="shared" si="0"/>
        <v>23</v>
      </c>
      <c r="H34" s="2" t="s">
        <v>37</v>
      </c>
      <c r="I34" s="2" t="b">
        <f t="shared" ca="1" si="1"/>
        <v>0</v>
      </c>
      <c r="J34" s="3" t="s">
        <v>38</v>
      </c>
    </row>
    <row r="35" spans="1:10" ht="30.75">
      <c r="A35" s="2" t="s">
        <v>108</v>
      </c>
      <c r="B35" s="3" t="s">
        <v>109</v>
      </c>
      <c r="C35" s="2" t="s">
        <v>50</v>
      </c>
      <c r="D35" s="2" t="s">
        <v>42</v>
      </c>
      <c r="E35" s="8">
        <v>46330</v>
      </c>
      <c r="F35" s="8">
        <v>46342</v>
      </c>
      <c r="G35" s="5">
        <f t="shared" si="0"/>
        <v>12</v>
      </c>
      <c r="H35" s="2" t="s">
        <v>43</v>
      </c>
      <c r="I35" s="2" t="b">
        <f t="shared" ca="1" si="1"/>
        <v>0</v>
      </c>
      <c r="J35" s="3" t="s">
        <v>44</v>
      </c>
    </row>
    <row r="36" spans="1:10">
      <c r="A36" s="2" t="s">
        <v>110</v>
      </c>
      <c r="B36" s="3" t="s">
        <v>111</v>
      </c>
      <c r="C36" s="2" t="s">
        <v>41</v>
      </c>
      <c r="D36" s="2" t="s">
        <v>112</v>
      </c>
      <c r="E36" s="8">
        <v>46291</v>
      </c>
      <c r="F36" s="8">
        <v>46311</v>
      </c>
      <c r="G36" s="5">
        <f t="shared" si="0"/>
        <v>20</v>
      </c>
      <c r="H36" s="2" t="s">
        <v>43</v>
      </c>
      <c r="I36" s="2" t="b">
        <f t="shared" ca="1" si="1"/>
        <v>0</v>
      </c>
      <c r="J36" s="3" t="s">
        <v>44</v>
      </c>
    </row>
    <row r="37" spans="1:10">
      <c r="A37" s="2" t="s">
        <v>113</v>
      </c>
      <c r="B37" s="3" t="s">
        <v>114</v>
      </c>
      <c r="C37" s="2" t="s">
        <v>29</v>
      </c>
      <c r="D37" s="2" t="s">
        <v>112</v>
      </c>
      <c r="E37" s="8">
        <v>46272</v>
      </c>
      <c r="F37" s="8">
        <v>46283</v>
      </c>
      <c r="G37" s="5">
        <f t="shared" si="0"/>
        <v>11</v>
      </c>
      <c r="H37" s="2" t="s">
        <v>20</v>
      </c>
      <c r="I37" s="2" t="b">
        <f t="shared" ca="1" si="1"/>
        <v>1</v>
      </c>
      <c r="J37" s="3" t="s">
        <v>115</v>
      </c>
    </row>
    <row r="38" spans="1:10">
      <c r="A38" s="2" t="s">
        <v>116</v>
      </c>
      <c r="B38" s="3" t="s">
        <v>117</v>
      </c>
      <c r="C38" s="2" t="s">
        <v>50</v>
      </c>
      <c r="D38" s="2" t="s">
        <v>79</v>
      </c>
      <c r="E38" s="8">
        <v>46302</v>
      </c>
      <c r="F38" s="8">
        <v>46317</v>
      </c>
      <c r="G38" s="5">
        <f t="shared" si="0"/>
        <v>15</v>
      </c>
      <c r="H38" s="2" t="s">
        <v>43</v>
      </c>
      <c r="I38" s="2" t="b">
        <f t="shared" ca="1" si="1"/>
        <v>0</v>
      </c>
      <c r="J38" s="3" t="s">
        <v>47</v>
      </c>
    </row>
    <row r="39" spans="1:10">
      <c r="A39" s="2" t="s">
        <v>118</v>
      </c>
      <c r="B39" s="3" t="s">
        <v>119</v>
      </c>
      <c r="C39" s="2" t="s">
        <v>41</v>
      </c>
      <c r="D39" s="2" t="s">
        <v>19</v>
      </c>
      <c r="E39" s="8">
        <v>46268</v>
      </c>
      <c r="F39" s="8">
        <v>46285</v>
      </c>
      <c r="G39" s="5">
        <f t="shared" si="0"/>
        <v>17</v>
      </c>
      <c r="H39" s="2" t="s">
        <v>20</v>
      </c>
      <c r="I39" s="2" t="b">
        <f t="shared" ca="1" si="1"/>
        <v>1</v>
      </c>
      <c r="J39" s="3" t="s">
        <v>55</v>
      </c>
    </row>
    <row r="40" spans="1:10">
      <c r="A40" s="2" t="s">
        <v>120</v>
      </c>
      <c r="B40" s="3" t="s">
        <v>49</v>
      </c>
      <c r="C40" s="2" t="s">
        <v>50</v>
      </c>
      <c r="D40" s="2" t="s">
        <v>30</v>
      </c>
      <c r="E40" s="8">
        <v>46331</v>
      </c>
      <c r="F40" s="8">
        <v>46352</v>
      </c>
      <c r="G40" s="5">
        <f t="shared" si="0"/>
        <v>21</v>
      </c>
      <c r="H40" s="2" t="s">
        <v>37</v>
      </c>
      <c r="I40" s="2" t="b">
        <f t="shared" ca="1" si="1"/>
        <v>0</v>
      </c>
      <c r="J40" s="3" t="s">
        <v>121</v>
      </c>
    </row>
    <row r="41" spans="1:10">
      <c r="A41" s="2" t="s">
        <v>122</v>
      </c>
      <c r="B41" s="3" t="s">
        <v>123</v>
      </c>
      <c r="C41" s="2" t="s">
        <v>18</v>
      </c>
      <c r="D41" s="2" t="s">
        <v>87</v>
      </c>
      <c r="E41" s="8">
        <v>46328</v>
      </c>
      <c r="F41" s="8">
        <v>46330</v>
      </c>
      <c r="G41" s="5">
        <f t="shared" si="0"/>
        <v>2</v>
      </c>
      <c r="H41" s="2" t="s">
        <v>43</v>
      </c>
      <c r="I41" s="2" t="b">
        <f t="shared" ca="1" si="1"/>
        <v>0</v>
      </c>
      <c r="J41" s="3" t="s">
        <v>61</v>
      </c>
    </row>
    <row r="42" spans="1:10">
      <c r="A42" s="2" t="s">
        <v>124</v>
      </c>
      <c r="B42" s="3" t="s">
        <v>125</v>
      </c>
      <c r="C42" s="2" t="s">
        <v>41</v>
      </c>
      <c r="D42" s="2" t="s">
        <v>79</v>
      </c>
      <c r="E42" s="8">
        <v>46272</v>
      </c>
      <c r="F42" s="8">
        <v>46291</v>
      </c>
      <c r="G42" s="5">
        <f t="shared" si="0"/>
        <v>19</v>
      </c>
      <c r="H42" s="2" t="s">
        <v>43</v>
      </c>
      <c r="I42" s="2" t="b">
        <f t="shared" ca="1" si="1"/>
        <v>0</v>
      </c>
      <c r="J42" s="3" t="s">
        <v>126</v>
      </c>
    </row>
    <row r="43" spans="1:10">
      <c r="A43" s="2" t="s">
        <v>127</v>
      </c>
      <c r="B43" s="3" t="s">
        <v>128</v>
      </c>
      <c r="C43" s="2" t="s">
        <v>12</v>
      </c>
      <c r="D43" s="2" t="s">
        <v>30</v>
      </c>
      <c r="E43" s="8">
        <v>46289</v>
      </c>
      <c r="F43" s="8">
        <v>46302</v>
      </c>
      <c r="G43" s="5">
        <f t="shared" si="0"/>
        <v>13</v>
      </c>
      <c r="H43" s="2" t="s">
        <v>43</v>
      </c>
      <c r="I43" s="2" t="b">
        <f t="shared" ca="1" si="1"/>
        <v>0</v>
      </c>
      <c r="J43" s="3" t="s">
        <v>44</v>
      </c>
    </row>
    <row r="44" spans="1:10">
      <c r="A44" s="2" t="s">
        <v>129</v>
      </c>
      <c r="B44" s="3" t="s">
        <v>130</v>
      </c>
      <c r="C44" s="2" t="s">
        <v>12</v>
      </c>
      <c r="D44" s="2" t="s">
        <v>30</v>
      </c>
      <c r="E44" s="8">
        <v>46303</v>
      </c>
      <c r="F44" s="8">
        <v>46321</v>
      </c>
      <c r="G44" s="5">
        <f t="shared" si="0"/>
        <v>18</v>
      </c>
      <c r="H44" s="2" t="s">
        <v>20</v>
      </c>
      <c r="I44" s="2" t="b">
        <f t="shared" ca="1" si="1"/>
        <v>0</v>
      </c>
      <c r="J44" s="3" t="s">
        <v>115</v>
      </c>
    </row>
    <row r="45" spans="1:10">
      <c r="A45" s="2" t="s">
        <v>131</v>
      </c>
      <c r="B45" s="3" t="s">
        <v>132</v>
      </c>
      <c r="C45" s="2" t="s">
        <v>53</v>
      </c>
      <c r="D45" s="2" t="s">
        <v>58</v>
      </c>
      <c r="E45" s="8">
        <v>46320</v>
      </c>
      <c r="F45" s="8">
        <v>46333</v>
      </c>
      <c r="G45" s="5">
        <f t="shared" si="0"/>
        <v>13</v>
      </c>
      <c r="H45" s="2" t="s">
        <v>20</v>
      </c>
      <c r="I45" s="2" t="b">
        <f t="shared" ca="1" si="1"/>
        <v>0</v>
      </c>
      <c r="J45" s="3" t="s">
        <v>31</v>
      </c>
    </row>
    <row r="46" spans="1:10">
      <c r="A46" s="2" t="s">
        <v>133</v>
      </c>
      <c r="B46" s="3" t="s">
        <v>134</v>
      </c>
      <c r="C46" s="2" t="s">
        <v>24</v>
      </c>
      <c r="D46" s="2" t="s">
        <v>13</v>
      </c>
      <c r="E46" s="8">
        <v>46335</v>
      </c>
      <c r="F46" s="8">
        <v>46337</v>
      </c>
      <c r="G46" s="5">
        <f t="shared" si="0"/>
        <v>2</v>
      </c>
      <c r="H46" s="2" t="s">
        <v>14</v>
      </c>
      <c r="I46" s="2" t="b">
        <f t="shared" ca="1" si="1"/>
        <v>0</v>
      </c>
      <c r="J46" s="3" t="s">
        <v>15</v>
      </c>
    </row>
    <row r="47" spans="1:10">
      <c r="A47" s="2" t="s">
        <v>135</v>
      </c>
      <c r="B47" s="3" t="s">
        <v>136</v>
      </c>
      <c r="C47" s="2" t="s">
        <v>18</v>
      </c>
      <c r="D47" s="2" t="s">
        <v>25</v>
      </c>
      <c r="E47" s="8">
        <v>46289</v>
      </c>
      <c r="F47" s="8">
        <v>46296</v>
      </c>
      <c r="G47" s="5">
        <f t="shared" si="0"/>
        <v>7</v>
      </c>
      <c r="H47" s="2" t="s">
        <v>37</v>
      </c>
      <c r="I47" s="2" t="b">
        <f t="shared" ca="1" si="1"/>
        <v>1</v>
      </c>
      <c r="J47" s="3" t="s">
        <v>77</v>
      </c>
    </row>
    <row r="48" spans="1:10">
      <c r="A48" s="2" t="s">
        <v>137</v>
      </c>
      <c r="B48" s="3" t="s">
        <v>138</v>
      </c>
      <c r="C48" s="2" t="s">
        <v>53</v>
      </c>
      <c r="D48" s="2" t="s">
        <v>25</v>
      </c>
      <c r="E48" s="8">
        <v>46333</v>
      </c>
      <c r="F48" s="8">
        <v>46335</v>
      </c>
      <c r="G48" s="5">
        <f t="shared" si="0"/>
        <v>2</v>
      </c>
      <c r="H48" s="2" t="s">
        <v>14</v>
      </c>
      <c r="I48" s="2" t="b">
        <f t="shared" ca="1" si="1"/>
        <v>0</v>
      </c>
      <c r="J48" s="3" t="s">
        <v>139</v>
      </c>
    </row>
    <row r="49" spans="1:10">
      <c r="A49" s="2" t="s">
        <v>140</v>
      </c>
      <c r="B49" s="3" t="s">
        <v>141</v>
      </c>
      <c r="C49" s="2" t="s">
        <v>24</v>
      </c>
      <c r="D49" s="2" t="s">
        <v>13</v>
      </c>
      <c r="E49" s="8">
        <v>46315</v>
      </c>
      <c r="F49" s="8">
        <v>46333</v>
      </c>
      <c r="G49" s="5">
        <f t="shared" si="0"/>
        <v>18</v>
      </c>
      <c r="H49" s="2" t="s">
        <v>20</v>
      </c>
      <c r="I49" s="2" t="b">
        <f t="shared" ca="1" si="1"/>
        <v>0</v>
      </c>
      <c r="J49" s="3" t="s">
        <v>21</v>
      </c>
    </row>
    <row r="50" spans="1:10">
      <c r="A50" s="2" t="s">
        <v>142</v>
      </c>
      <c r="B50" s="3" t="s">
        <v>143</v>
      </c>
      <c r="C50" s="2" t="s">
        <v>29</v>
      </c>
      <c r="D50" s="2" t="s">
        <v>144</v>
      </c>
      <c r="E50" s="8">
        <v>46317</v>
      </c>
      <c r="F50" s="8">
        <v>46323</v>
      </c>
      <c r="G50" s="5">
        <f t="shared" si="0"/>
        <v>6</v>
      </c>
      <c r="H50" s="2" t="s">
        <v>14</v>
      </c>
      <c r="I50" s="2" t="b">
        <f t="shared" ca="1" si="1"/>
        <v>0</v>
      </c>
      <c r="J50" s="3" t="s">
        <v>145</v>
      </c>
    </row>
    <row r="51" spans="1:10">
      <c r="A51" s="2" t="s">
        <v>146</v>
      </c>
      <c r="B51" s="3" t="s">
        <v>147</v>
      </c>
      <c r="C51" s="2" t="s">
        <v>24</v>
      </c>
      <c r="D51" s="2" t="s">
        <v>112</v>
      </c>
      <c r="E51" s="8">
        <v>46277</v>
      </c>
      <c r="F51" s="8">
        <v>46287</v>
      </c>
      <c r="G51" s="5">
        <f t="shared" si="0"/>
        <v>10</v>
      </c>
      <c r="H51" s="2" t="s">
        <v>20</v>
      </c>
      <c r="I51" s="2" t="b">
        <f t="shared" ca="1" si="1"/>
        <v>1</v>
      </c>
      <c r="J51" s="3" t="s">
        <v>21</v>
      </c>
    </row>
    <row r="52" spans="1:10">
      <c r="A52" s="2" t="s">
        <v>148</v>
      </c>
      <c r="B52" s="3" t="s">
        <v>149</v>
      </c>
      <c r="C52" s="2" t="s">
        <v>12</v>
      </c>
      <c r="D52" s="2" t="s">
        <v>58</v>
      </c>
      <c r="E52" s="8">
        <v>46279</v>
      </c>
      <c r="F52" s="8">
        <v>46284</v>
      </c>
      <c r="G52" s="5">
        <f t="shared" si="0"/>
        <v>5</v>
      </c>
      <c r="H52" s="2" t="s">
        <v>14</v>
      </c>
      <c r="I52" s="2" t="b">
        <f t="shared" ca="1" si="1"/>
        <v>1</v>
      </c>
      <c r="J52" s="3" t="s">
        <v>84</v>
      </c>
    </row>
    <row r="53" spans="1:10">
      <c r="A53" s="2" t="s">
        <v>150</v>
      </c>
      <c r="B53" s="3" t="s">
        <v>151</v>
      </c>
      <c r="C53" s="2" t="s">
        <v>50</v>
      </c>
      <c r="D53" s="2" t="s">
        <v>144</v>
      </c>
      <c r="E53" s="8">
        <v>46302</v>
      </c>
      <c r="F53" s="8">
        <v>46316</v>
      </c>
      <c r="G53" s="5">
        <f t="shared" si="0"/>
        <v>14</v>
      </c>
      <c r="H53" s="2" t="s">
        <v>14</v>
      </c>
      <c r="I53" s="2" t="b">
        <f t="shared" ca="1" si="1"/>
        <v>0</v>
      </c>
      <c r="J53" s="3" t="s">
        <v>84</v>
      </c>
    </row>
    <row r="54" spans="1:10">
      <c r="A54" s="2" t="s">
        <v>152</v>
      </c>
      <c r="B54" s="3" t="s">
        <v>153</v>
      </c>
      <c r="C54" s="2" t="s">
        <v>12</v>
      </c>
      <c r="D54" s="2" t="s">
        <v>36</v>
      </c>
      <c r="E54" s="8">
        <v>46344</v>
      </c>
      <c r="F54" s="8">
        <v>46356</v>
      </c>
      <c r="G54" s="5">
        <f t="shared" si="0"/>
        <v>12</v>
      </c>
      <c r="H54" s="2" t="s">
        <v>20</v>
      </c>
      <c r="I54" s="2" t="b">
        <f t="shared" ca="1" si="1"/>
        <v>0</v>
      </c>
      <c r="J54" s="3" t="s">
        <v>72</v>
      </c>
    </row>
    <row r="55" spans="1:10">
      <c r="A55" s="2" t="s">
        <v>154</v>
      </c>
      <c r="B55" s="3" t="s">
        <v>155</v>
      </c>
      <c r="C55" s="2" t="s">
        <v>24</v>
      </c>
      <c r="D55" s="2" t="s">
        <v>87</v>
      </c>
      <c r="E55" s="8">
        <v>46295</v>
      </c>
      <c r="F55" s="8">
        <v>46310</v>
      </c>
      <c r="G55" s="5">
        <f t="shared" si="0"/>
        <v>15</v>
      </c>
      <c r="H55" s="2" t="s">
        <v>20</v>
      </c>
      <c r="I55" s="2" t="b">
        <f t="shared" ca="1" si="1"/>
        <v>0</v>
      </c>
      <c r="J55" s="3" t="s">
        <v>115</v>
      </c>
    </row>
    <row r="56" spans="1:10">
      <c r="A56" s="2" t="s">
        <v>156</v>
      </c>
      <c r="B56" s="3" t="s">
        <v>157</v>
      </c>
      <c r="C56" s="2" t="s">
        <v>50</v>
      </c>
      <c r="D56" s="2" t="s">
        <v>58</v>
      </c>
      <c r="E56" s="8">
        <v>46267</v>
      </c>
      <c r="F56" s="8">
        <v>46288</v>
      </c>
      <c r="G56" s="5">
        <f t="shared" si="0"/>
        <v>21</v>
      </c>
      <c r="H56" s="2" t="s">
        <v>20</v>
      </c>
      <c r="I56" s="2" t="b">
        <f t="shared" ca="1" si="1"/>
        <v>1</v>
      </c>
      <c r="J56" s="3" t="s">
        <v>72</v>
      </c>
    </row>
    <row r="57" spans="1:10">
      <c r="A57" s="2" t="s">
        <v>158</v>
      </c>
      <c r="B57" s="3" t="s">
        <v>143</v>
      </c>
      <c r="C57" s="2" t="s">
        <v>29</v>
      </c>
      <c r="D57" s="2" t="s">
        <v>87</v>
      </c>
      <c r="E57" s="8">
        <v>46292</v>
      </c>
      <c r="F57" s="8">
        <v>46296</v>
      </c>
      <c r="G57" s="5">
        <f t="shared" si="0"/>
        <v>4</v>
      </c>
      <c r="H57" s="2" t="s">
        <v>43</v>
      </c>
      <c r="I57" s="2" t="b">
        <f t="shared" ca="1" si="1"/>
        <v>0</v>
      </c>
      <c r="J57" s="3" t="s">
        <v>47</v>
      </c>
    </row>
    <row r="58" spans="1:10">
      <c r="A58" s="2" t="s">
        <v>159</v>
      </c>
      <c r="B58" s="3" t="s">
        <v>160</v>
      </c>
      <c r="C58" s="2" t="s">
        <v>24</v>
      </c>
      <c r="D58" s="2" t="s">
        <v>36</v>
      </c>
      <c r="E58" s="8">
        <v>46297</v>
      </c>
      <c r="F58" s="8">
        <v>46310</v>
      </c>
      <c r="G58" s="5">
        <f t="shared" si="0"/>
        <v>13</v>
      </c>
      <c r="H58" s="2" t="s">
        <v>20</v>
      </c>
      <c r="I58" s="2" t="b">
        <f t="shared" ca="1" si="1"/>
        <v>0</v>
      </c>
      <c r="J58" s="3" t="s">
        <v>21</v>
      </c>
    </row>
    <row r="59" spans="1:10">
      <c r="A59" s="2" t="s">
        <v>161</v>
      </c>
      <c r="B59" s="3" t="s">
        <v>162</v>
      </c>
      <c r="C59" s="2" t="s">
        <v>12</v>
      </c>
      <c r="D59" s="2" t="s">
        <v>13</v>
      </c>
      <c r="E59" s="8">
        <v>46293</v>
      </c>
      <c r="F59" s="8">
        <v>46296</v>
      </c>
      <c r="G59" s="5">
        <f t="shared" si="0"/>
        <v>3</v>
      </c>
      <c r="H59" s="2" t="s">
        <v>14</v>
      </c>
      <c r="I59" s="2" t="b">
        <f t="shared" ca="1" si="1"/>
        <v>1</v>
      </c>
      <c r="J59" s="3" t="s">
        <v>145</v>
      </c>
    </row>
    <row r="60" spans="1:10">
      <c r="A60" s="2" t="s">
        <v>163</v>
      </c>
      <c r="B60" s="3" t="s">
        <v>164</v>
      </c>
      <c r="C60" s="2" t="s">
        <v>29</v>
      </c>
      <c r="D60" s="2" t="s">
        <v>42</v>
      </c>
      <c r="E60" s="8">
        <v>46277</v>
      </c>
      <c r="F60" s="8">
        <v>46291</v>
      </c>
      <c r="G60" s="5">
        <f t="shared" si="0"/>
        <v>14</v>
      </c>
      <c r="H60" s="2" t="s">
        <v>43</v>
      </c>
      <c r="I60" s="2" t="b">
        <f t="shared" ca="1" si="1"/>
        <v>0</v>
      </c>
      <c r="J60" s="3" t="s">
        <v>94</v>
      </c>
    </row>
    <row r="61" spans="1:10">
      <c r="A61" s="2" t="s">
        <v>165</v>
      </c>
      <c r="B61" s="3" t="s">
        <v>166</v>
      </c>
      <c r="C61" s="2" t="s">
        <v>18</v>
      </c>
      <c r="D61" s="2" t="s">
        <v>54</v>
      </c>
      <c r="E61" s="8">
        <v>46301</v>
      </c>
      <c r="F61" s="8">
        <v>46319</v>
      </c>
      <c r="G61" s="5">
        <f t="shared" si="0"/>
        <v>18</v>
      </c>
      <c r="H61" s="2" t="s">
        <v>14</v>
      </c>
      <c r="I61" s="2" t="b">
        <f t="shared" ca="1" si="1"/>
        <v>0</v>
      </c>
      <c r="J61" s="3" t="s">
        <v>145</v>
      </c>
    </row>
    <row r="62" spans="1:10">
      <c r="A62" s="2" t="s">
        <v>167</v>
      </c>
      <c r="B62" s="3" t="s">
        <v>168</v>
      </c>
      <c r="C62" s="2" t="s">
        <v>41</v>
      </c>
      <c r="D62" s="2" t="s">
        <v>54</v>
      </c>
      <c r="E62" s="8">
        <v>46268</v>
      </c>
      <c r="F62" s="8">
        <v>46273</v>
      </c>
      <c r="G62" s="5">
        <f t="shared" si="0"/>
        <v>5</v>
      </c>
      <c r="H62" s="2" t="s">
        <v>20</v>
      </c>
      <c r="I62" s="2" t="b">
        <f t="shared" ca="1" si="1"/>
        <v>1</v>
      </c>
      <c r="J62" s="3" t="s">
        <v>55</v>
      </c>
    </row>
    <row r="63" spans="1:10">
      <c r="A63" s="2" t="s">
        <v>169</v>
      </c>
      <c r="B63" s="3" t="s">
        <v>170</v>
      </c>
      <c r="C63" s="2" t="s">
        <v>50</v>
      </c>
      <c r="D63" s="2" t="s">
        <v>36</v>
      </c>
      <c r="E63" s="8">
        <v>46347</v>
      </c>
      <c r="F63" s="8">
        <v>46350</v>
      </c>
      <c r="G63" s="5">
        <f t="shared" si="0"/>
        <v>3</v>
      </c>
      <c r="H63" s="2" t="s">
        <v>20</v>
      </c>
      <c r="I63" s="2" t="b">
        <f t="shared" ca="1" si="1"/>
        <v>0</v>
      </c>
      <c r="J63" s="3" t="s">
        <v>21</v>
      </c>
    </row>
    <row r="64" spans="1:10">
      <c r="A64" s="2" t="s">
        <v>171</v>
      </c>
      <c r="B64" s="3" t="s">
        <v>172</v>
      </c>
      <c r="C64" s="2" t="s">
        <v>24</v>
      </c>
      <c r="D64" s="2" t="s">
        <v>87</v>
      </c>
      <c r="E64" s="8">
        <v>46308</v>
      </c>
      <c r="F64" s="8">
        <v>46319</v>
      </c>
      <c r="G64" s="5">
        <f t="shared" si="0"/>
        <v>11</v>
      </c>
      <c r="H64" s="2" t="s">
        <v>43</v>
      </c>
      <c r="I64" s="2" t="b">
        <f t="shared" ca="1" si="1"/>
        <v>0</v>
      </c>
      <c r="J64" s="3" t="s">
        <v>47</v>
      </c>
    </row>
    <row r="65" spans="1:10">
      <c r="A65" s="2" t="s">
        <v>173</v>
      </c>
      <c r="B65" s="3" t="s">
        <v>174</v>
      </c>
      <c r="C65" s="2" t="s">
        <v>53</v>
      </c>
      <c r="D65" s="2" t="s">
        <v>87</v>
      </c>
      <c r="E65" s="8">
        <v>46309</v>
      </c>
      <c r="F65" s="8">
        <v>46317</v>
      </c>
      <c r="G65" s="5">
        <f t="shared" si="0"/>
        <v>8</v>
      </c>
      <c r="H65" s="2" t="s">
        <v>20</v>
      </c>
      <c r="I65" s="2" t="b">
        <f t="shared" ca="1" si="1"/>
        <v>0</v>
      </c>
      <c r="J65" s="3" t="s">
        <v>72</v>
      </c>
    </row>
    <row r="66" spans="1:10">
      <c r="A66" s="2" t="s">
        <v>175</v>
      </c>
      <c r="B66" s="3" t="s">
        <v>176</v>
      </c>
      <c r="C66" s="2" t="s">
        <v>41</v>
      </c>
      <c r="D66" s="2" t="s">
        <v>144</v>
      </c>
      <c r="E66" s="8">
        <v>46315</v>
      </c>
      <c r="F66" s="8">
        <v>46320</v>
      </c>
      <c r="G66" s="5">
        <f t="shared" si="0"/>
        <v>5</v>
      </c>
      <c r="H66" s="2" t="s">
        <v>37</v>
      </c>
      <c r="I66" s="2" t="b">
        <f t="shared" ca="1" si="1"/>
        <v>0</v>
      </c>
      <c r="J66" s="3" t="s">
        <v>121</v>
      </c>
    </row>
    <row r="67" spans="1:10">
      <c r="A67" s="2" t="s">
        <v>177</v>
      </c>
      <c r="B67" s="3" t="s">
        <v>178</v>
      </c>
      <c r="C67" s="2" t="s">
        <v>50</v>
      </c>
      <c r="D67" s="2" t="s">
        <v>19</v>
      </c>
      <c r="E67" s="8">
        <v>46275</v>
      </c>
      <c r="F67" s="8">
        <v>46298</v>
      </c>
      <c r="G67" s="5">
        <f t="shared" ref="G67:G130" si="2">F67-E67</f>
        <v>23</v>
      </c>
      <c r="H67" s="2" t="s">
        <v>43</v>
      </c>
      <c r="I67" s="2" t="b">
        <f t="shared" ref="I67:I130" ca="1" si="3">AND(H67&lt;&gt;"Completed",F67&lt;TODAY())</f>
        <v>0</v>
      </c>
      <c r="J67" s="3" t="s">
        <v>94</v>
      </c>
    </row>
    <row r="68" spans="1:10" ht="30.75">
      <c r="A68" s="2" t="s">
        <v>179</v>
      </c>
      <c r="B68" s="3" t="s">
        <v>180</v>
      </c>
      <c r="C68" s="2" t="s">
        <v>50</v>
      </c>
      <c r="D68" s="2" t="s">
        <v>13</v>
      </c>
      <c r="E68" s="8">
        <v>46331</v>
      </c>
      <c r="F68" s="8">
        <v>46338</v>
      </c>
      <c r="G68" s="5">
        <f t="shared" si="2"/>
        <v>7</v>
      </c>
      <c r="H68" s="2" t="s">
        <v>43</v>
      </c>
      <c r="I68" s="2" t="b">
        <f t="shared" ca="1" si="3"/>
        <v>0</v>
      </c>
      <c r="J68" s="3" t="s">
        <v>61</v>
      </c>
    </row>
    <row r="69" spans="1:10">
      <c r="A69" s="2" t="s">
        <v>181</v>
      </c>
      <c r="B69" s="3" t="s">
        <v>182</v>
      </c>
      <c r="C69" s="2" t="s">
        <v>41</v>
      </c>
      <c r="D69" s="2" t="s">
        <v>19</v>
      </c>
      <c r="E69" s="8">
        <v>46351</v>
      </c>
      <c r="F69" s="8">
        <v>46356</v>
      </c>
      <c r="G69" s="5">
        <f t="shared" si="2"/>
        <v>5</v>
      </c>
      <c r="H69" s="2" t="s">
        <v>43</v>
      </c>
      <c r="I69" s="2" t="b">
        <f t="shared" ca="1" si="3"/>
        <v>0</v>
      </c>
      <c r="J69" s="3" t="s">
        <v>61</v>
      </c>
    </row>
    <row r="70" spans="1:10">
      <c r="A70" s="2" t="s">
        <v>183</v>
      </c>
      <c r="B70" s="3" t="s">
        <v>184</v>
      </c>
      <c r="C70" s="2" t="s">
        <v>53</v>
      </c>
      <c r="D70" s="2" t="s">
        <v>144</v>
      </c>
      <c r="E70" s="8">
        <v>46346</v>
      </c>
      <c r="F70" s="8">
        <v>46356</v>
      </c>
      <c r="G70" s="5">
        <f t="shared" si="2"/>
        <v>10</v>
      </c>
      <c r="H70" s="2" t="s">
        <v>14</v>
      </c>
      <c r="I70" s="2" t="b">
        <f t="shared" ca="1" si="3"/>
        <v>0</v>
      </c>
      <c r="J70" s="3" t="s">
        <v>139</v>
      </c>
    </row>
    <row r="71" spans="1:10">
      <c r="A71" s="2" t="s">
        <v>185</v>
      </c>
      <c r="B71" s="3" t="s">
        <v>60</v>
      </c>
      <c r="C71" s="2" t="s">
        <v>24</v>
      </c>
      <c r="D71" s="2" t="s">
        <v>79</v>
      </c>
      <c r="E71" s="8">
        <v>46311</v>
      </c>
      <c r="F71" s="8">
        <v>46329</v>
      </c>
      <c r="G71" s="5">
        <f t="shared" si="2"/>
        <v>18</v>
      </c>
      <c r="H71" s="2" t="s">
        <v>14</v>
      </c>
      <c r="I71" s="2" t="b">
        <f t="shared" ca="1" si="3"/>
        <v>0</v>
      </c>
      <c r="J71" s="3" t="s">
        <v>84</v>
      </c>
    </row>
    <row r="72" spans="1:10">
      <c r="A72" s="2" t="s">
        <v>186</v>
      </c>
      <c r="B72" s="3" t="s">
        <v>187</v>
      </c>
      <c r="C72" s="2" t="s">
        <v>24</v>
      </c>
      <c r="D72" s="2" t="s">
        <v>112</v>
      </c>
      <c r="E72" s="8">
        <v>46343</v>
      </c>
      <c r="F72" s="8">
        <v>46349</v>
      </c>
      <c r="G72" s="5">
        <f t="shared" si="2"/>
        <v>6</v>
      </c>
      <c r="H72" s="2" t="s">
        <v>43</v>
      </c>
      <c r="I72" s="2" t="b">
        <f t="shared" ca="1" si="3"/>
        <v>0</v>
      </c>
      <c r="J72" s="3" t="s">
        <v>94</v>
      </c>
    </row>
    <row r="73" spans="1:10">
      <c r="A73" s="2" t="s">
        <v>188</v>
      </c>
      <c r="B73" s="3" t="s">
        <v>189</v>
      </c>
      <c r="C73" s="2" t="s">
        <v>41</v>
      </c>
      <c r="D73" s="2" t="s">
        <v>36</v>
      </c>
      <c r="E73" s="8">
        <v>46287</v>
      </c>
      <c r="F73" s="8">
        <v>46302</v>
      </c>
      <c r="G73" s="5">
        <f t="shared" si="2"/>
        <v>15</v>
      </c>
      <c r="H73" s="2" t="s">
        <v>14</v>
      </c>
      <c r="I73" s="2" t="b">
        <f t="shared" ca="1" si="3"/>
        <v>1</v>
      </c>
      <c r="J73" s="3" t="s">
        <v>84</v>
      </c>
    </row>
    <row r="74" spans="1:10">
      <c r="A74" s="2" t="s">
        <v>190</v>
      </c>
      <c r="B74" s="3" t="s">
        <v>136</v>
      </c>
      <c r="C74" s="2" t="s">
        <v>18</v>
      </c>
      <c r="D74" s="2" t="s">
        <v>87</v>
      </c>
      <c r="E74" s="8">
        <v>46311</v>
      </c>
      <c r="F74" s="8">
        <v>46315</v>
      </c>
      <c r="G74" s="5">
        <f t="shared" si="2"/>
        <v>4</v>
      </c>
      <c r="H74" s="2" t="s">
        <v>43</v>
      </c>
      <c r="I74" s="2" t="b">
        <f t="shared" ca="1" si="3"/>
        <v>0</v>
      </c>
      <c r="J74" s="3" t="s">
        <v>47</v>
      </c>
    </row>
    <row r="75" spans="1:10">
      <c r="A75" s="2" t="s">
        <v>191</v>
      </c>
      <c r="B75" s="3" t="s">
        <v>192</v>
      </c>
      <c r="C75" s="2" t="s">
        <v>12</v>
      </c>
      <c r="D75" s="2" t="s">
        <v>79</v>
      </c>
      <c r="E75" s="8">
        <v>46293</v>
      </c>
      <c r="F75" s="8">
        <v>46313</v>
      </c>
      <c r="G75" s="5">
        <f t="shared" si="2"/>
        <v>20</v>
      </c>
      <c r="H75" s="2" t="s">
        <v>43</v>
      </c>
      <c r="I75" s="2" t="b">
        <f t="shared" ca="1" si="3"/>
        <v>0</v>
      </c>
      <c r="J75" s="3" t="s">
        <v>94</v>
      </c>
    </row>
    <row r="76" spans="1:10">
      <c r="A76" s="2" t="s">
        <v>193</v>
      </c>
      <c r="B76" s="3" t="s">
        <v>194</v>
      </c>
      <c r="C76" s="2" t="s">
        <v>50</v>
      </c>
      <c r="D76" s="2" t="s">
        <v>13</v>
      </c>
      <c r="E76" s="8">
        <v>46307</v>
      </c>
      <c r="F76" s="8">
        <v>46319</v>
      </c>
      <c r="G76" s="5">
        <f t="shared" si="2"/>
        <v>12</v>
      </c>
      <c r="H76" s="2" t="s">
        <v>43</v>
      </c>
      <c r="I76" s="2" t="b">
        <f t="shared" ca="1" si="3"/>
        <v>0</v>
      </c>
      <c r="J76" s="3" t="s">
        <v>44</v>
      </c>
    </row>
    <row r="77" spans="1:10">
      <c r="A77" s="2" t="s">
        <v>195</v>
      </c>
      <c r="B77" s="3" t="s">
        <v>196</v>
      </c>
      <c r="C77" s="2" t="s">
        <v>53</v>
      </c>
      <c r="D77" s="2" t="s">
        <v>79</v>
      </c>
      <c r="E77" s="8">
        <v>46266</v>
      </c>
      <c r="F77" s="8">
        <v>46284</v>
      </c>
      <c r="G77" s="5">
        <f t="shared" si="2"/>
        <v>18</v>
      </c>
      <c r="H77" s="2" t="s">
        <v>20</v>
      </c>
      <c r="I77" s="2" t="b">
        <f t="shared" ca="1" si="3"/>
        <v>1</v>
      </c>
      <c r="J77" s="3" t="s">
        <v>72</v>
      </c>
    </row>
    <row r="78" spans="1:10">
      <c r="A78" s="2" t="s">
        <v>197</v>
      </c>
      <c r="B78" s="3" t="s">
        <v>52</v>
      </c>
      <c r="C78" s="2" t="s">
        <v>53</v>
      </c>
      <c r="D78" s="2" t="s">
        <v>25</v>
      </c>
      <c r="E78" s="8">
        <v>46280</v>
      </c>
      <c r="F78" s="8">
        <v>46296</v>
      </c>
      <c r="G78" s="5">
        <f t="shared" si="2"/>
        <v>16</v>
      </c>
      <c r="H78" s="2" t="s">
        <v>37</v>
      </c>
      <c r="I78" s="2" t="b">
        <f t="shared" ca="1" si="3"/>
        <v>1</v>
      </c>
      <c r="J78" s="3" t="s">
        <v>77</v>
      </c>
    </row>
    <row r="79" spans="1:10">
      <c r="A79" s="2" t="s">
        <v>198</v>
      </c>
      <c r="B79" s="3" t="s">
        <v>199</v>
      </c>
      <c r="C79" s="2" t="s">
        <v>18</v>
      </c>
      <c r="D79" s="2" t="s">
        <v>54</v>
      </c>
      <c r="E79" s="8">
        <v>46298</v>
      </c>
      <c r="F79" s="8">
        <v>46317</v>
      </c>
      <c r="G79" s="5">
        <f t="shared" si="2"/>
        <v>19</v>
      </c>
      <c r="H79" s="2" t="s">
        <v>20</v>
      </c>
      <c r="I79" s="2" t="b">
        <f t="shared" ca="1" si="3"/>
        <v>0</v>
      </c>
      <c r="J79" s="3" t="s">
        <v>31</v>
      </c>
    </row>
    <row r="80" spans="1:10">
      <c r="A80" s="2" t="s">
        <v>200</v>
      </c>
      <c r="B80" s="3" t="s">
        <v>201</v>
      </c>
      <c r="C80" s="2" t="s">
        <v>12</v>
      </c>
      <c r="D80" s="2" t="s">
        <v>112</v>
      </c>
      <c r="E80" s="8">
        <v>46267</v>
      </c>
      <c r="F80" s="8">
        <v>46286</v>
      </c>
      <c r="G80" s="5">
        <f t="shared" si="2"/>
        <v>19</v>
      </c>
      <c r="H80" s="2" t="s">
        <v>37</v>
      </c>
      <c r="I80" s="2" t="b">
        <f t="shared" ca="1" si="3"/>
        <v>1</v>
      </c>
      <c r="J80" s="3" t="s">
        <v>77</v>
      </c>
    </row>
    <row r="81" spans="1:10">
      <c r="A81" s="2" t="s">
        <v>202</v>
      </c>
      <c r="B81" s="3" t="s">
        <v>203</v>
      </c>
      <c r="C81" s="2" t="s">
        <v>12</v>
      </c>
      <c r="D81" s="2" t="s">
        <v>79</v>
      </c>
      <c r="E81" s="8">
        <v>46334</v>
      </c>
      <c r="F81" s="8">
        <v>46350</v>
      </c>
      <c r="G81" s="5">
        <f t="shared" si="2"/>
        <v>16</v>
      </c>
      <c r="H81" s="2" t="s">
        <v>14</v>
      </c>
      <c r="I81" s="2" t="b">
        <f t="shared" ca="1" si="3"/>
        <v>0</v>
      </c>
      <c r="J81" s="3" t="s">
        <v>145</v>
      </c>
    </row>
    <row r="82" spans="1:10">
      <c r="A82" s="2" t="s">
        <v>204</v>
      </c>
      <c r="B82" s="3" t="s">
        <v>205</v>
      </c>
      <c r="C82" s="2" t="s">
        <v>29</v>
      </c>
      <c r="D82" s="2" t="s">
        <v>25</v>
      </c>
      <c r="E82" s="8">
        <v>46337</v>
      </c>
      <c r="F82" s="8">
        <v>46353</v>
      </c>
      <c r="G82" s="5">
        <f t="shared" si="2"/>
        <v>16</v>
      </c>
      <c r="H82" s="2" t="s">
        <v>20</v>
      </c>
      <c r="I82" s="2" t="b">
        <f t="shared" ca="1" si="3"/>
        <v>0</v>
      </c>
      <c r="J82" s="3" t="s">
        <v>31</v>
      </c>
    </row>
    <row r="83" spans="1:10">
      <c r="A83" s="2" t="s">
        <v>206</v>
      </c>
      <c r="B83" s="3" t="s">
        <v>207</v>
      </c>
      <c r="C83" s="2" t="s">
        <v>12</v>
      </c>
      <c r="D83" s="2" t="s">
        <v>58</v>
      </c>
      <c r="E83" s="8">
        <v>46336</v>
      </c>
      <c r="F83" s="8">
        <v>46341</v>
      </c>
      <c r="G83" s="5">
        <f t="shared" si="2"/>
        <v>5</v>
      </c>
      <c r="H83" s="2" t="s">
        <v>14</v>
      </c>
      <c r="I83" s="2" t="b">
        <f t="shared" ca="1" si="3"/>
        <v>0</v>
      </c>
      <c r="J83" s="3" t="s">
        <v>145</v>
      </c>
    </row>
    <row r="84" spans="1:10">
      <c r="A84" s="2" t="s">
        <v>208</v>
      </c>
      <c r="B84" s="3" t="s">
        <v>209</v>
      </c>
      <c r="C84" s="2" t="s">
        <v>24</v>
      </c>
      <c r="D84" s="2" t="s">
        <v>13</v>
      </c>
      <c r="E84" s="8">
        <v>46289</v>
      </c>
      <c r="F84" s="8">
        <v>46309</v>
      </c>
      <c r="G84" s="5">
        <f t="shared" si="2"/>
        <v>20</v>
      </c>
      <c r="H84" s="2" t="s">
        <v>20</v>
      </c>
      <c r="I84" s="2" t="b">
        <f t="shared" ca="1" si="3"/>
        <v>0</v>
      </c>
      <c r="J84" s="3" t="s">
        <v>26</v>
      </c>
    </row>
    <row r="85" spans="1:10">
      <c r="A85" s="2" t="s">
        <v>210</v>
      </c>
      <c r="B85" s="3" t="s">
        <v>211</v>
      </c>
      <c r="C85" s="2" t="s">
        <v>41</v>
      </c>
      <c r="D85" s="2" t="s">
        <v>19</v>
      </c>
      <c r="E85" s="8">
        <v>46271</v>
      </c>
      <c r="F85" s="8">
        <v>46275</v>
      </c>
      <c r="G85" s="5">
        <f t="shared" si="2"/>
        <v>4</v>
      </c>
      <c r="H85" s="2" t="s">
        <v>14</v>
      </c>
      <c r="I85" s="2" t="b">
        <f t="shared" ca="1" si="3"/>
        <v>1</v>
      </c>
      <c r="J85" s="3" t="s">
        <v>139</v>
      </c>
    </row>
    <row r="86" spans="1:10">
      <c r="A86" s="2" t="s">
        <v>212</v>
      </c>
      <c r="B86" s="3" t="s">
        <v>213</v>
      </c>
      <c r="C86" s="2" t="s">
        <v>12</v>
      </c>
      <c r="D86" s="2" t="s">
        <v>87</v>
      </c>
      <c r="E86" s="8">
        <v>46328</v>
      </c>
      <c r="F86" s="8">
        <v>46331</v>
      </c>
      <c r="G86" s="5">
        <f t="shared" si="2"/>
        <v>3</v>
      </c>
      <c r="H86" s="2" t="s">
        <v>20</v>
      </c>
      <c r="I86" s="2" t="b">
        <f t="shared" ca="1" si="3"/>
        <v>0</v>
      </c>
      <c r="J86" s="3" t="s">
        <v>55</v>
      </c>
    </row>
    <row r="87" spans="1:10">
      <c r="A87" s="2" t="s">
        <v>214</v>
      </c>
      <c r="B87" s="3" t="s">
        <v>215</v>
      </c>
      <c r="C87" s="2" t="s">
        <v>18</v>
      </c>
      <c r="D87" s="2" t="s">
        <v>112</v>
      </c>
      <c r="E87" s="8">
        <v>46287</v>
      </c>
      <c r="F87" s="8">
        <v>46304</v>
      </c>
      <c r="G87" s="5">
        <f t="shared" si="2"/>
        <v>17</v>
      </c>
      <c r="H87" s="2" t="s">
        <v>20</v>
      </c>
      <c r="I87" s="2" t="b">
        <f t="shared" ca="1" si="3"/>
        <v>1</v>
      </c>
      <c r="J87" s="3" t="s">
        <v>55</v>
      </c>
    </row>
    <row r="88" spans="1:10">
      <c r="A88" s="2" t="s">
        <v>216</v>
      </c>
      <c r="B88" s="3" t="s">
        <v>153</v>
      </c>
      <c r="C88" s="2" t="s">
        <v>12</v>
      </c>
      <c r="D88" s="2" t="s">
        <v>30</v>
      </c>
      <c r="E88" s="8">
        <v>46285</v>
      </c>
      <c r="F88" s="8">
        <v>46289</v>
      </c>
      <c r="G88" s="5">
        <f t="shared" si="2"/>
        <v>4</v>
      </c>
      <c r="H88" s="2" t="s">
        <v>20</v>
      </c>
      <c r="I88" s="2" t="b">
        <f t="shared" ca="1" si="3"/>
        <v>1</v>
      </c>
      <c r="J88" s="3" t="s">
        <v>21</v>
      </c>
    </row>
    <row r="89" spans="1:10">
      <c r="A89" s="2" t="s">
        <v>217</v>
      </c>
      <c r="B89" s="3" t="s">
        <v>218</v>
      </c>
      <c r="C89" s="2" t="s">
        <v>29</v>
      </c>
      <c r="D89" s="2" t="s">
        <v>13</v>
      </c>
      <c r="E89" s="8">
        <v>46349</v>
      </c>
      <c r="F89" s="8">
        <v>46353</v>
      </c>
      <c r="G89" s="5">
        <f t="shared" si="2"/>
        <v>4</v>
      </c>
      <c r="H89" s="2" t="s">
        <v>37</v>
      </c>
      <c r="I89" s="2" t="b">
        <f t="shared" ca="1" si="3"/>
        <v>0</v>
      </c>
      <c r="J89" s="3" t="s">
        <v>121</v>
      </c>
    </row>
    <row r="90" spans="1:10">
      <c r="A90" s="2" t="s">
        <v>219</v>
      </c>
      <c r="B90" s="3" t="s">
        <v>220</v>
      </c>
      <c r="C90" s="2" t="s">
        <v>53</v>
      </c>
      <c r="D90" s="2" t="s">
        <v>87</v>
      </c>
      <c r="E90" s="8">
        <v>46276</v>
      </c>
      <c r="F90" s="8">
        <v>46284</v>
      </c>
      <c r="G90" s="5">
        <f t="shared" si="2"/>
        <v>8</v>
      </c>
      <c r="H90" s="2" t="s">
        <v>14</v>
      </c>
      <c r="I90" s="2" t="b">
        <f t="shared" ca="1" si="3"/>
        <v>1</v>
      </c>
      <c r="J90" s="3" t="s">
        <v>145</v>
      </c>
    </row>
    <row r="91" spans="1:10" ht="30.75">
      <c r="A91" s="2" t="s">
        <v>221</v>
      </c>
      <c r="B91" s="3" t="s">
        <v>222</v>
      </c>
      <c r="C91" s="2" t="s">
        <v>50</v>
      </c>
      <c r="D91" s="2" t="s">
        <v>30</v>
      </c>
      <c r="E91" s="8">
        <v>46295</v>
      </c>
      <c r="F91" s="8">
        <v>46314</v>
      </c>
      <c r="G91" s="5">
        <f t="shared" si="2"/>
        <v>19</v>
      </c>
      <c r="H91" s="2" t="s">
        <v>14</v>
      </c>
      <c r="I91" s="2" t="b">
        <f t="shared" ca="1" si="3"/>
        <v>0</v>
      </c>
      <c r="J91" s="3" t="s">
        <v>15</v>
      </c>
    </row>
    <row r="92" spans="1:10">
      <c r="A92" s="2" t="s">
        <v>223</v>
      </c>
      <c r="B92" s="3" t="s">
        <v>224</v>
      </c>
      <c r="C92" s="2" t="s">
        <v>24</v>
      </c>
      <c r="D92" s="2" t="s">
        <v>144</v>
      </c>
      <c r="E92" s="8">
        <v>46340</v>
      </c>
      <c r="F92" s="8">
        <v>46348</v>
      </c>
      <c r="G92" s="5">
        <f t="shared" si="2"/>
        <v>8</v>
      </c>
      <c r="H92" s="2" t="s">
        <v>14</v>
      </c>
      <c r="I92" s="2" t="b">
        <f t="shared" ca="1" si="3"/>
        <v>0</v>
      </c>
      <c r="J92" s="3" t="s">
        <v>145</v>
      </c>
    </row>
    <row r="93" spans="1:10">
      <c r="A93" s="2" t="s">
        <v>225</v>
      </c>
      <c r="B93" s="3" t="s">
        <v>226</v>
      </c>
      <c r="C93" s="2" t="s">
        <v>41</v>
      </c>
      <c r="D93" s="2" t="s">
        <v>144</v>
      </c>
      <c r="E93" s="8">
        <v>46319</v>
      </c>
      <c r="F93" s="8">
        <v>46335</v>
      </c>
      <c r="G93" s="5">
        <f t="shared" si="2"/>
        <v>16</v>
      </c>
      <c r="H93" s="2" t="s">
        <v>43</v>
      </c>
      <c r="I93" s="2" t="b">
        <f t="shared" ca="1" si="3"/>
        <v>0</v>
      </c>
      <c r="J93" s="3" t="s">
        <v>61</v>
      </c>
    </row>
    <row r="94" spans="1:10">
      <c r="A94" s="2" t="s">
        <v>227</v>
      </c>
      <c r="B94" s="3" t="s">
        <v>228</v>
      </c>
      <c r="C94" s="2" t="s">
        <v>50</v>
      </c>
      <c r="D94" s="2" t="s">
        <v>36</v>
      </c>
      <c r="E94" s="8">
        <v>46299</v>
      </c>
      <c r="F94" s="8">
        <v>46316</v>
      </c>
      <c r="G94" s="5">
        <f t="shared" si="2"/>
        <v>17</v>
      </c>
      <c r="H94" s="2" t="s">
        <v>43</v>
      </c>
      <c r="I94" s="2" t="b">
        <f t="shared" ca="1" si="3"/>
        <v>0</v>
      </c>
      <c r="J94" s="3" t="s">
        <v>47</v>
      </c>
    </row>
    <row r="95" spans="1:10">
      <c r="A95" s="2" t="s">
        <v>229</v>
      </c>
      <c r="B95" s="3" t="s">
        <v>230</v>
      </c>
      <c r="C95" s="2" t="s">
        <v>24</v>
      </c>
      <c r="D95" s="2" t="s">
        <v>112</v>
      </c>
      <c r="E95" s="8">
        <v>46341</v>
      </c>
      <c r="F95" s="8">
        <v>46343</v>
      </c>
      <c r="G95" s="5">
        <f t="shared" si="2"/>
        <v>2</v>
      </c>
      <c r="H95" s="2" t="s">
        <v>43</v>
      </c>
      <c r="I95" s="2" t="b">
        <f t="shared" ca="1" si="3"/>
        <v>0</v>
      </c>
      <c r="J95" s="3" t="s">
        <v>94</v>
      </c>
    </row>
    <row r="96" spans="1:10">
      <c r="A96" s="2" t="s">
        <v>231</v>
      </c>
      <c r="B96" s="3" t="s">
        <v>232</v>
      </c>
      <c r="C96" s="2" t="s">
        <v>41</v>
      </c>
      <c r="D96" s="2" t="s">
        <v>30</v>
      </c>
      <c r="E96" s="8">
        <v>46286</v>
      </c>
      <c r="F96" s="8">
        <v>46296</v>
      </c>
      <c r="G96" s="5">
        <f t="shared" si="2"/>
        <v>10</v>
      </c>
      <c r="H96" s="2" t="s">
        <v>20</v>
      </c>
      <c r="I96" s="2" t="b">
        <f t="shared" ca="1" si="3"/>
        <v>1</v>
      </c>
      <c r="J96" s="3" t="s">
        <v>21</v>
      </c>
    </row>
    <row r="97" spans="1:10">
      <c r="A97" s="2" t="s">
        <v>233</v>
      </c>
      <c r="B97" s="3" t="s">
        <v>234</v>
      </c>
      <c r="C97" s="2" t="s">
        <v>53</v>
      </c>
      <c r="D97" s="2" t="s">
        <v>112</v>
      </c>
      <c r="E97" s="8">
        <v>46349</v>
      </c>
      <c r="F97" s="8">
        <v>46356</v>
      </c>
      <c r="G97" s="5">
        <f t="shared" si="2"/>
        <v>7</v>
      </c>
      <c r="H97" s="2" t="s">
        <v>20</v>
      </c>
      <c r="I97" s="2" t="b">
        <f t="shared" ca="1" si="3"/>
        <v>0</v>
      </c>
      <c r="J97" s="3" t="s">
        <v>115</v>
      </c>
    </row>
    <row r="98" spans="1:10">
      <c r="A98" s="2" t="s">
        <v>235</v>
      </c>
      <c r="B98" s="3" t="s">
        <v>236</v>
      </c>
      <c r="C98" s="2" t="s">
        <v>41</v>
      </c>
      <c r="D98" s="2" t="s">
        <v>19</v>
      </c>
      <c r="E98" s="8">
        <v>46298</v>
      </c>
      <c r="F98" s="8">
        <v>46312</v>
      </c>
      <c r="G98" s="5">
        <f t="shared" si="2"/>
        <v>14</v>
      </c>
      <c r="H98" s="2" t="s">
        <v>43</v>
      </c>
      <c r="I98" s="2" t="b">
        <f t="shared" ca="1" si="3"/>
        <v>0</v>
      </c>
      <c r="J98" s="3" t="s">
        <v>44</v>
      </c>
    </row>
    <row r="99" spans="1:10">
      <c r="A99" s="2" t="s">
        <v>237</v>
      </c>
      <c r="B99" s="3" t="s">
        <v>238</v>
      </c>
      <c r="C99" s="2" t="s">
        <v>24</v>
      </c>
      <c r="D99" s="2" t="s">
        <v>13</v>
      </c>
      <c r="E99" s="8">
        <v>46339</v>
      </c>
      <c r="F99" s="8">
        <v>46356</v>
      </c>
      <c r="G99" s="5">
        <f t="shared" si="2"/>
        <v>17</v>
      </c>
      <c r="H99" s="2" t="s">
        <v>20</v>
      </c>
      <c r="I99" s="2" t="b">
        <f t="shared" ca="1" si="3"/>
        <v>0</v>
      </c>
      <c r="J99" s="3" t="s">
        <v>31</v>
      </c>
    </row>
    <row r="100" spans="1:10">
      <c r="A100" s="2" t="s">
        <v>239</v>
      </c>
      <c r="B100" s="3" t="s">
        <v>240</v>
      </c>
      <c r="C100" s="2" t="s">
        <v>12</v>
      </c>
      <c r="D100" s="2" t="s">
        <v>25</v>
      </c>
      <c r="E100" s="8">
        <v>46348</v>
      </c>
      <c r="F100" s="8">
        <v>46352</v>
      </c>
      <c r="G100" s="5">
        <f t="shared" si="2"/>
        <v>4</v>
      </c>
      <c r="H100" s="2" t="s">
        <v>20</v>
      </c>
      <c r="I100" s="2" t="b">
        <f t="shared" ca="1" si="3"/>
        <v>0</v>
      </c>
      <c r="J100" s="3" t="s">
        <v>72</v>
      </c>
    </row>
    <row r="101" spans="1:10">
      <c r="A101" s="2" t="s">
        <v>241</v>
      </c>
      <c r="B101" s="3" t="s">
        <v>242</v>
      </c>
      <c r="C101" s="2" t="s">
        <v>41</v>
      </c>
      <c r="D101" s="2" t="s">
        <v>79</v>
      </c>
      <c r="E101" s="8">
        <v>46311</v>
      </c>
      <c r="F101" s="8">
        <v>46325</v>
      </c>
      <c r="G101" s="5">
        <f t="shared" si="2"/>
        <v>14</v>
      </c>
      <c r="H101" s="2" t="s">
        <v>20</v>
      </c>
      <c r="I101" s="2" t="b">
        <f t="shared" ca="1" si="3"/>
        <v>0</v>
      </c>
      <c r="J101" s="3" t="s">
        <v>72</v>
      </c>
    </row>
    <row r="102" spans="1:10">
      <c r="A102" s="2" t="s">
        <v>243</v>
      </c>
      <c r="B102" s="3" t="s">
        <v>244</v>
      </c>
      <c r="C102" s="2" t="s">
        <v>50</v>
      </c>
      <c r="D102" s="2" t="s">
        <v>19</v>
      </c>
      <c r="E102" s="8">
        <v>46310</v>
      </c>
      <c r="F102" s="8">
        <v>46313</v>
      </c>
      <c r="G102" s="5">
        <f t="shared" si="2"/>
        <v>3</v>
      </c>
      <c r="H102" s="2" t="s">
        <v>20</v>
      </c>
      <c r="I102" s="2" t="b">
        <f t="shared" ca="1" si="3"/>
        <v>0</v>
      </c>
      <c r="J102" s="3" t="s">
        <v>21</v>
      </c>
    </row>
    <row r="103" spans="1:10">
      <c r="A103" s="2" t="s">
        <v>245</v>
      </c>
      <c r="B103" s="3" t="s">
        <v>246</v>
      </c>
      <c r="C103" s="2" t="s">
        <v>24</v>
      </c>
      <c r="D103" s="2" t="s">
        <v>54</v>
      </c>
      <c r="E103" s="8">
        <v>46297</v>
      </c>
      <c r="F103" s="8">
        <v>46316</v>
      </c>
      <c r="G103" s="5">
        <f t="shared" si="2"/>
        <v>19</v>
      </c>
      <c r="H103" s="2" t="s">
        <v>20</v>
      </c>
      <c r="I103" s="2" t="b">
        <f t="shared" ca="1" si="3"/>
        <v>0</v>
      </c>
      <c r="J103" s="3" t="s">
        <v>115</v>
      </c>
    </row>
    <row r="104" spans="1:10">
      <c r="A104" s="2" t="s">
        <v>247</v>
      </c>
      <c r="B104" s="3" t="s">
        <v>248</v>
      </c>
      <c r="C104" s="2" t="s">
        <v>53</v>
      </c>
      <c r="D104" s="2" t="s">
        <v>144</v>
      </c>
      <c r="E104" s="8">
        <v>46300</v>
      </c>
      <c r="F104" s="8">
        <v>46317</v>
      </c>
      <c r="G104" s="5">
        <f t="shared" si="2"/>
        <v>17</v>
      </c>
      <c r="H104" s="2" t="s">
        <v>20</v>
      </c>
      <c r="I104" s="2" t="b">
        <f t="shared" ca="1" si="3"/>
        <v>0</v>
      </c>
      <c r="J104" s="3" t="s">
        <v>72</v>
      </c>
    </row>
    <row r="105" spans="1:10">
      <c r="A105" s="2" t="s">
        <v>249</v>
      </c>
      <c r="B105" s="3" t="s">
        <v>250</v>
      </c>
      <c r="C105" s="2" t="s">
        <v>53</v>
      </c>
      <c r="D105" s="2" t="s">
        <v>144</v>
      </c>
      <c r="E105" s="8">
        <v>46320</v>
      </c>
      <c r="F105" s="8">
        <v>46339</v>
      </c>
      <c r="G105" s="5">
        <f t="shared" si="2"/>
        <v>19</v>
      </c>
      <c r="H105" s="2" t="s">
        <v>43</v>
      </c>
      <c r="I105" s="2" t="b">
        <f t="shared" ca="1" si="3"/>
        <v>0</v>
      </c>
      <c r="J105" s="3" t="s">
        <v>61</v>
      </c>
    </row>
    <row r="106" spans="1:10">
      <c r="A106" s="2" t="s">
        <v>251</v>
      </c>
      <c r="B106" s="3" t="s">
        <v>252</v>
      </c>
      <c r="C106" s="2" t="s">
        <v>50</v>
      </c>
      <c r="D106" s="2" t="s">
        <v>87</v>
      </c>
      <c r="E106" s="8">
        <v>46323</v>
      </c>
      <c r="F106" s="8">
        <v>46346</v>
      </c>
      <c r="G106" s="5">
        <f t="shared" si="2"/>
        <v>23</v>
      </c>
      <c r="H106" s="2" t="s">
        <v>43</v>
      </c>
      <c r="I106" s="2" t="b">
        <f t="shared" ca="1" si="3"/>
        <v>0</v>
      </c>
      <c r="J106" s="3" t="s">
        <v>47</v>
      </c>
    </row>
    <row r="107" spans="1:10">
      <c r="A107" s="2" t="s">
        <v>253</v>
      </c>
      <c r="B107" s="3" t="s">
        <v>254</v>
      </c>
      <c r="C107" s="2" t="s">
        <v>53</v>
      </c>
      <c r="D107" s="2" t="s">
        <v>144</v>
      </c>
      <c r="E107" s="8">
        <v>46330</v>
      </c>
      <c r="F107" s="8">
        <v>46353</v>
      </c>
      <c r="G107" s="5">
        <f t="shared" si="2"/>
        <v>23</v>
      </c>
      <c r="H107" s="2" t="s">
        <v>20</v>
      </c>
      <c r="I107" s="2" t="b">
        <f t="shared" ca="1" si="3"/>
        <v>0</v>
      </c>
      <c r="J107" s="3" t="s">
        <v>21</v>
      </c>
    </row>
    <row r="108" spans="1:10">
      <c r="A108" s="2" t="s">
        <v>255</v>
      </c>
      <c r="B108" s="3" t="s">
        <v>256</v>
      </c>
      <c r="C108" s="2" t="s">
        <v>24</v>
      </c>
      <c r="D108" s="2" t="s">
        <v>79</v>
      </c>
      <c r="E108" s="8">
        <v>46291</v>
      </c>
      <c r="F108" s="8">
        <v>46299</v>
      </c>
      <c r="G108" s="5">
        <f t="shared" si="2"/>
        <v>8</v>
      </c>
      <c r="H108" s="2" t="s">
        <v>43</v>
      </c>
      <c r="I108" s="2" t="b">
        <f t="shared" ca="1" si="3"/>
        <v>0</v>
      </c>
      <c r="J108" s="3" t="s">
        <v>44</v>
      </c>
    </row>
    <row r="109" spans="1:10">
      <c r="A109" s="2" t="s">
        <v>257</v>
      </c>
      <c r="B109" s="3" t="s">
        <v>172</v>
      </c>
      <c r="C109" s="2" t="s">
        <v>24</v>
      </c>
      <c r="D109" s="2" t="s">
        <v>30</v>
      </c>
      <c r="E109" s="8">
        <v>46271</v>
      </c>
      <c r="F109" s="8">
        <v>46295</v>
      </c>
      <c r="G109" s="5">
        <f t="shared" si="2"/>
        <v>24</v>
      </c>
      <c r="H109" s="2" t="s">
        <v>20</v>
      </c>
      <c r="I109" s="2" t="b">
        <f t="shared" ca="1" si="3"/>
        <v>1</v>
      </c>
      <c r="J109" s="3" t="s">
        <v>55</v>
      </c>
    </row>
    <row r="110" spans="1:10" ht="30.75">
      <c r="A110" s="2" t="s">
        <v>258</v>
      </c>
      <c r="B110" s="3" t="s">
        <v>109</v>
      </c>
      <c r="C110" s="2" t="s">
        <v>50</v>
      </c>
      <c r="D110" s="2" t="s">
        <v>25</v>
      </c>
      <c r="E110" s="8">
        <v>46294</v>
      </c>
      <c r="F110" s="8">
        <v>46308</v>
      </c>
      <c r="G110" s="5">
        <f t="shared" si="2"/>
        <v>14</v>
      </c>
      <c r="H110" s="2" t="s">
        <v>20</v>
      </c>
      <c r="I110" s="2" t="b">
        <f t="shared" ca="1" si="3"/>
        <v>0</v>
      </c>
      <c r="J110" s="3" t="s">
        <v>72</v>
      </c>
    </row>
    <row r="111" spans="1:10">
      <c r="A111" s="2" t="s">
        <v>259</v>
      </c>
      <c r="B111" s="3" t="s">
        <v>260</v>
      </c>
      <c r="C111" s="2" t="s">
        <v>12</v>
      </c>
      <c r="D111" s="2" t="s">
        <v>144</v>
      </c>
      <c r="E111" s="8">
        <v>46347</v>
      </c>
      <c r="F111" s="8">
        <v>46356</v>
      </c>
      <c r="G111" s="5">
        <f t="shared" si="2"/>
        <v>9</v>
      </c>
      <c r="H111" s="2" t="s">
        <v>43</v>
      </c>
      <c r="I111" s="2" t="b">
        <f t="shared" ca="1" si="3"/>
        <v>0</v>
      </c>
      <c r="J111" s="3" t="s">
        <v>44</v>
      </c>
    </row>
    <row r="112" spans="1:10">
      <c r="A112" s="2" t="s">
        <v>261</v>
      </c>
      <c r="B112" s="3" t="s">
        <v>248</v>
      </c>
      <c r="C112" s="2" t="s">
        <v>53</v>
      </c>
      <c r="D112" s="2" t="s">
        <v>144</v>
      </c>
      <c r="E112" s="8">
        <v>46269</v>
      </c>
      <c r="F112" s="8">
        <v>46289</v>
      </c>
      <c r="G112" s="5">
        <f t="shared" si="2"/>
        <v>20</v>
      </c>
      <c r="H112" s="2" t="s">
        <v>20</v>
      </c>
      <c r="I112" s="2" t="b">
        <f t="shared" ca="1" si="3"/>
        <v>1</v>
      </c>
      <c r="J112" s="3" t="s">
        <v>72</v>
      </c>
    </row>
    <row r="113" spans="1:10">
      <c r="A113" s="2" t="s">
        <v>262</v>
      </c>
      <c r="B113" s="3" t="s">
        <v>263</v>
      </c>
      <c r="C113" s="2" t="s">
        <v>50</v>
      </c>
      <c r="D113" s="2" t="s">
        <v>19</v>
      </c>
      <c r="E113" s="8">
        <v>46335</v>
      </c>
      <c r="F113" s="8">
        <v>46347</v>
      </c>
      <c r="G113" s="5">
        <f t="shared" si="2"/>
        <v>12</v>
      </c>
      <c r="H113" s="2" t="s">
        <v>43</v>
      </c>
      <c r="I113" s="2" t="b">
        <f t="shared" ca="1" si="3"/>
        <v>0</v>
      </c>
      <c r="J113" s="3" t="s">
        <v>61</v>
      </c>
    </row>
    <row r="114" spans="1:10">
      <c r="A114" s="2" t="s">
        <v>264</v>
      </c>
      <c r="B114" s="3" t="s">
        <v>98</v>
      </c>
      <c r="C114" s="2" t="s">
        <v>18</v>
      </c>
      <c r="D114" s="2" t="s">
        <v>144</v>
      </c>
      <c r="E114" s="8">
        <v>46270</v>
      </c>
      <c r="F114" s="8">
        <v>46293</v>
      </c>
      <c r="G114" s="5">
        <f t="shared" si="2"/>
        <v>23</v>
      </c>
      <c r="H114" s="2" t="s">
        <v>43</v>
      </c>
      <c r="I114" s="2" t="b">
        <f t="shared" ca="1" si="3"/>
        <v>0</v>
      </c>
      <c r="J114" s="3" t="s">
        <v>44</v>
      </c>
    </row>
    <row r="115" spans="1:10">
      <c r="A115" s="2" t="s">
        <v>265</v>
      </c>
      <c r="B115" s="3" t="s">
        <v>266</v>
      </c>
      <c r="C115" s="2" t="s">
        <v>18</v>
      </c>
      <c r="D115" s="2" t="s">
        <v>58</v>
      </c>
      <c r="E115" s="8">
        <v>46291</v>
      </c>
      <c r="F115" s="8">
        <v>46296</v>
      </c>
      <c r="G115" s="5">
        <f t="shared" si="2"/>
        <v>5</v>
      </c>
      <c r="H115" s="2" t="s">
        <v>37</v>
      </c>
      <c r="I115" s="2" t="b">
        <f t="shared" ca="1" si="3"/>
        <v>1</v>
      </c>
      <c r="J115" s="3" t="s">
        <v>38</v>
      </c>
    </row>
    <row r="116" spans="1:10">
      <c r="A116" s="2" t="s">
        <v>267</v>
      </c>
      <c r="B116" s="3" t="s">
        <v>268</v>
      </c>
      <c r="C116" s="2" t="s">
        <v>53</v>
      </c>
      <c r="D116" s="2" t="s">
        <v>13</v>
      </c>
      <c r="E116" s="8">
        <v>46277</v>
      </c>
      <c r="F116" s="8">
        <v>46300</v>
      </c>
      <c r="G116" s="5">
        <f t="shared" si="2"/>
        <v>23</v>
      </c>
      <c r="H116" s="2" t="s">
        <v>43</v>
      </c>
      <c r="I116" s="2" t="b">
        <f t="shared" ca="1" si="3"/>
        <v>0</v>
      </c>
      <c r="J116" s="3" t="s">
        <v>47</v>
      </c>
    </row>
    <row r="117" spans="1:10">
      <c r="A117" s="2" t="s">
        <v>269</v>
      </c>
      <c r="B117" s="3" t="s">
        <v>199</v>
      </c>
      <c r="C117" s="2" t="s">
        <v>18</v>
      </c>
      <c r="D117" s="2" t="s">
        <v>58</v>
      </c>
      <c r="E117" s="8">
        <v>46353</v>
      </c>
      <c r="F117" s="8">
        <v>46356</v>
      </c>
      <c r="G117" s="5">
        <f t="shared" si="2"/>
        <v>3</v>
      </c>
      <c r="H117" s="2" t="s">
        <v>14</v>
      </c>
      <c r="I117" s="2" t="b">
        <f t="shared" ca="1" si="3"/>
        <v>0</v>
      </c>
      <c r="J117" s="3" t="s">
        <v>139</v>
      </c>
    </row>
    <row r="118" spans="1:10">
      <c r="A118" s="2" t="s">
        <v>270</v>
      </c>
      <c r="B118" s="3" t="s">
        <v>271</v>
      </c>
      <c r="C118" s="2" t="s">
        <v>29</v>
      </c>
      <c r="D118" s="2" t="s">
        <v>79</v>
      </c>
      <c r="E118" s="8">
        <v>46317</v>
      </c>
      <c r="F118" s="8">
        <v>46341</v>
      </c>
      <c r="G118" s="5">
        <f t="shared" si="2"/>
        <v>24</v>
      </c>
      <c r="H118" s="2" t="s">
        <v>43</v>
      </c>
      <c r="I118" s="2" t="b">
        <f t="shared" ca="1" si="3"/>
        <v>0</v>
      </c>
      <c r="J118" s="3" t="s">
        <v>94</v>
      </c>
    </row>
    <row r="119" spans="1:10">
      <c r="A119" s="2" t="s">
        <v>272</v>
      </c>
      <c r="B119" s="3" t="s">
        <v>273</v>
      </c>
      <c r="C119" s="2" t="s">
        <v>24</v>
      </c>
      <c r="D119" s="2" t="s">
        <v>144</v>
      </c>
      <c r="E119" s="8">
        <v>46351</v>
      </c>
      <c r="F119" s="8">
        <v>46356</v>
      </c>
      <c r="G119" s="5">
        <f t="shared" si="2"/>
        <v>5</v>
      </c>
      <c r="H119" s="2" t="s">
        <v>14</v>
      </c>
      <c r="I119" s="2" t="b">
        <f t="shared" ca="1" si="3"/>
        <v>0</v>
      </c>
      <c r="J119" s="3" t="s">
        <v>145</v>
      </c>
    </row>
    <row r="120" spans="1:10">
      <c r="A120" s="2" t="s">
        <v>274</v>
      </c>
      <c r="B120" s="3" t="s">
        <v>49</v>
      </c>
      <c r="C120" s="2" t="s">
        <v>50</v>
      </c>
      <c r="D120" s="2" t="s">
        <v>19</v>
      </c>
      <c r="E120" s="8">
        <v>46276</v>
      </c>
      <c r="F120" s="8">
        <v>46278</v>
      </c>
      <c r="G120" s="5">
        <f t="shared" si="2"/>
        <v>2</v>
      </c>
      <c r="H120" s="2" t="s">
        <v>20</v>
      </c>
      <c r="I120" s="2" t="b">
        <f t="shared" ca="1" si="3"/>
        <v>1</v>
      </c>
      <c r="J120" s="3" t="s">
        <v>115</v>
      </c>
    </row>
    <row r="121" spans="1:10">
      <c r="A121" s="2" t="s">
        <v>275</v>
      </c>
      <c r="B121" s="3" t="s">
        <v>276</v>
      </c>
      <c r="C121" s="2" t="s">
        <v>18</v>
      </c>
      <c r="D121" s="2" t="s">
        <v>36</v>
      </c>
      <c r="E121" s="8">
        <v>46298</v>
      </c>
      <c r="F121" s="8">
        <v>46312</v>
      </c>
      <c r="G121" s="5">
        <f t="shared" si="2"/>
        <v>14</v>
      </c>
      <c r="H121" s="2" t="s">
        <v>20</v>
      </c>
      <c r="I121" s="2" t="b">
        <f t="shared" ca="1" si="3"/>
        <v>0</v>
      </c>
      <c r="J121" s="3" t="s">
        <v>21</v>
      </c>
    </row>
    <row r="122" spans="1:10">
      <c r="A122" s="2" t="s">
        <v>277</v>
      </c>
      <c r="B122" s="3" t="s">
        <v>278</v>
      </c>
      <c r="C122" s="2" t="s">
        <v>50</v>
      </c>
      <c r="D122" s="2" t="s">
        <v>112</v>
      </c>
      <c r="E122" s="8">
        <v>46334</v>
      </c>
      <c r="F122" s="8">
        <v>46344</v>
      </c>
      <c r="G122" s="5">
        <f t="shared" si="2"/>
        <v>10</v>
      </c>
      <c r="H122" s="2" t="s">
        <v>14</v>
      </c>
      <c r="I122" s="2" t="b">
        <f t="shared" ca="1" si="3"/>
        <v>0</v>
      </c>
      <c r="J122" s="3" t="s">
        <v>15</v>
      </c>
    </row>
    <row r="123" spans="1:10">
      <c r="A123" s="2" t="s">
        <v>279</v>
      </c>
      <c r="B123" s="3" t="s">
        <v>280</v>
      </c>
      <c r="C123" s="2" t="s">
        <v>24</v>
      </c>
      <c r="D123" s="2" t="s">
        <v>87</v>
      </c>
      <c r="E123" s="8">
        <v>46291</v>
      </c>
      <c r="F123" s="8">
        <v>46297</v>
      </c>
      <c r="G123" s="5">
        <f t="shared" si="2"/>
        <v>6</v>
      </c>
      <c r="H123" s="2" t="s">
        <v>14</v>
      </c>
      <c r="I123" s="2" t="b">
        <f t="shared" ca="1" si="3"/>
        <v>1</v>
      </c>
      <c r="J123" s="3" t="s">
        <v>84</v>
      </c>
    </row>
    <row r="124" spans="1:10">
      <c r="A124" s="2" t="s">
        <v>281</v>
      </c>
      <c r="B124" s="3" t="s">
        <v>282</v>
      </c>
      <c r="C124" s="2" t="s">
        <v>53</v>
      </c>
      <c r="D124" s="2" t="s">
        <v>25</v>
      </c>
      <c r="E124" s="8">
        <v>46345</v>
      </c>
      <c r="F124" s="8">
        <v>46356</v>
      </c>
      <c r="G124" s="5">
        <f t="shared" si="2"/>
        <v>11</v>
      </c>
      <c r="H124" s="2" t="s">
        <v>20</v>
      </c>
      <c r="I124" s="2" t="b">
        <f t="shared" ca="1" si="3"/>
        <v>0</v>
      </c>
      <c r="J124" s="3" t="s">
        <v>72</v>
      </c>
    </row>
    <row r="125" spans="1:10">
      <c r="A125" s="2" t="s">
        <v>283</v>
      </c>
      <c r="B125" s="3" t="s">
        <v>284</v>
      </c>
      <c r="C125" s="2" t="s">
        <v>12</v>
      </c>
      <c r="D125" s="2" t="s">
        <v>58</v>
      </c>
      <c r="E125" s="8">
        <v>46272</v>
      </c>
      <c r="F125" s="8">
        <v>46275</v>
      </c>
      <c r="G125" s="5">
        <f t="shared" si="2"/>
        <v>3</v>
      </c>
      <c r="H125" s="2" t="s">
        <v>43</v>
      </c>
      <c r="I125" s="2" t="b">
        <f t="shared" ca="1" si="3"/>
        <v>0</v>
      </c>
      <c r="J125" s="3" t="s">
        <v>44</v>
      </c>
    </row>
    <row r="126" spans="1:10">
      <c r="A126" s="2" t="s">
        <v>285</v>
      </c>
      <c r="B126" s="3" t="s">
        <v>286</v>
      </c>
      <c r="C126" s="2" t="s">
        <v>53</v>
      </c>
      <c r="D126" s="2" t="s">
        <v>87</v>
      </c>
      <c r="E126" s="8">
        <v>46313</v>
      </c>
      <c r="F126" s="8">
        <v>46334</v>
      </c>
      <c r="G126" s="5">
        <f t="shared" si="2"/>
        <v>21</v>
      </c>
      <c r="H126" s="2" t="s">
        <v>43</v>
      </c>
      <c r="I126" s="2" t="b">
        <f t="shared" ca="1" si="3"/>
        <v>0</v>
      </c>
      <c r="J126" s="3" t="s">
        <v>126</v>
      </c>
    </row>
    <row r="127" spans="1:10" ht="30.75">
      <c r="A127" s="2" t="s">
        <v>287</v>
      </c>
      <c r="B127" s="3" t="s">
        <v>222</v>
      </c>
      <c r="C127" s="2" t="s">
        <v>50</v>
      </c>
      <c r="D127" s="2" t="s">
        <v>112</v>
      </c>
      <c r="E127" s="8">
        <v>46340</v>
      </c>
      <c r="F127" s="8">
        <v>46356</v>
      </c>
      <c r="G127" s="5">
        <f t="shared" si="2"/>
        <v>16</v>
      </c>
      <c r="H127" s="2" t="s">
        <v>14</v>
      </c>
      <c r="I127" s="2" t="b">
        <f t="shared" ca="1" si="3"/>
        <v>0</v>
      </c>
      <c r="J127" s="3" t="s">
        <v>84</v>
      </c>
    </row>
    <row r="128" spans="1:10">
      <c r="A128" s="2" t="s">
        <v>288</v>
      </c>
      <c r="B128" s="3" t="s">
        <v>215</v>
      </c>
      <c r="C128" s="2" t="s">
        <v>18</v>
      </c>
      <c r="D128" s="2" t="s">
        <v>112</v>
      </c>
      <c r="E128" s="8">
        <v>46334</v>
      </c>
      <c r="F128" s="8">
        <v>46356</v>
      </c>
      <c r="G128" s="5">
        <f t="shared" si="2"/>
        <v>22</v>
      </c>
      <c r="H128" s="2" t="s">
        <v>37</v>
      </c>
      <c r="I128" s="2" t="b">
        <f t="shared" ca="1" si="3"/>
        <v>0</v>
      </c>
      <c r="J128" s="3" t="s">
        <v>38</v>
      </c>
    </row>
    <row r="129" spans="1:10">
      <c r="A129" s="2" t="s">
        <v>289</v>
      </c>
      <c r="B129" s="3" t="s">
        <v>290</v>
      </c>
      <c r="C129" s="2" t="s">
        <v>29</v>
      </c>
      <c r="D129" s="2" t="s">
        <v>144</v>
      </c>
      <c r="E129" s="8">
        <v>46269</v>
      </c>
      <c r="F129" s="8">
        <v>46293</v>
      </c>
      <c r="G129" s="5">
        <f t="shared" si="2"/>
        <v>24</v>
      </c>
      <c r="H129" s="2" t="s">
        <v>20</v>
      </c>
      <c r="I129" s="2" t="b">
        <f t="shared" ca="1" si="3"/>
        <v>1</v>
      </c>
      <c r="J129" s="3" t="s">
        <v>72</v>
      </c>
    </row>
    <row r="130" spans="1:10">
      <c r="A130" s="2" t="s">
        <v>291</v>
      </c>
      <c r="B130" s="3" t="s">
        <v>292</v>
      </c>
      <c r="C130" s="2" t="s">
        <v>41</v>
      </c>
      <c r="D130" s="2" t="s">
        <v>112</v>
      </c>
      <c r="E130" s="8">
        <v>46272</v>
      </c>
      <c r="F130" s="8">
        <v>46278</v>
      </c>
      <c r="G130" s="5">
        <f t="shared" si="2"/>
        <v>6</v>
      </c>
      <c r="H130" s="2" t="s">
        <v>20</v>
      </c>
      <c r="I130" s="2" t="b">
        <f t="shared" ca="1" si="3"/>
        <v>1</v>
      </c>
      <c r="J130" s="3" t="s">
        <v>26</v>
      </c>
    </row>
    <row r="131" spans="1:10">
      <c r="A131" s="2" t="s">
        <v>293</v>
      </c>
      <c r="B131" s="3" t="s">
        <v>294</v>
      </c>
      <c r="C131" s="2" t="s">
        <v>41</v>
      </c>
      <c r="D131" s="2" t="s">
        <v>13</v>
      </c>
      <c r="E131" s="8">
        <v>46280</v>
      </c>
      <c r="F131" s="8">
        <v>46287</v>
      </c>
      <c r="G131" s="5">
        <f t="shared" ref="G131:G181" si="4">F131-E131</f>
        <v>7</v>
      </c>
      <c r="H131" s="2" t="s">
        <v>20</v>
      </c>
      <c r="I131" s="2" t="b">
        <f t="shared" ref="I131:I181" ca="1" si="5">AND(H131&lt;&gt;"Completed",F131&lt;TODAY())</f>
        <v>1</v>
      </c>
      <c r="J131" s="3" t="s">
        <v>31</v>
      </c>
    </row>
    <row r="132" spans="1:10">
      <c r="A132" s="2" t="s">
        <v>295</v>
      </c>
      <c r="B132" s="3" t="s">
        <v>296</v>
      </c>
      <c r="C132" s="2" t="s">
        <v>24</v>
      </c>
      <c r="D132" s="2" t="s">
        <v>112</v>
      </c>
      <c r="E132" s="8">
        <v>46343</v>
      </c>
      <c r="F132" s="8">
        <v>46356</v>
      </c>
      <c r="G132" s="5">
        <f t="shared" si="4"/>
        <v>13</v>
      </c>
      <c r="H132" s="2" t="s">
        <v>20</v>
      </c>
      <c r="I132" s="2" t="b">
        <f t="shared" ca="1" si="5"/>
        <v>0</v>
      </c>
      <c r="J132" s="3" t="s">
        <v>31</v>
      </c>
    </row>
    <row r="133" spans="1:10">
      <c r="A133" s="2" t="s">
        <v>297</v>
      </c>
      <c r="B133" s="3" t="s">
        <v>298</v>
      </c>
      <c r="C133" s="2" t="s">
        <v>18</v>
      </c>
      <c r="D133" s="2" t="s">
        <v>79</v>
      </c>
      <c r="E133" s="8">
        <v>46292</v>
      </c>
      <c r="F133" s="8">
        <v>46306</v>
      </c>
      <c r="G133" s="5">
        <f t="shared" si="4"/>
        <v>14</v>
      </c>
      <c r="H133" s="2" t="s">
        <v>20</v>
      </c>
      <c r="I133" s="2" t="b">
        <f t="shared" ca="1" si="5"/>
        <v>0</v>
      </c>
      <c r="J133" s="3" t="s">
        <v>72</v>
      </c>
    </row>
    <row r="134" spans="1:10">
      <c r="A134" s="2" t="s">
        <v>299</v>
      </c>
      <c r="B134" s="3" t="s">
        <v>294</v>
      </c>
      <c r="C134" s="2" t="s">
        <v>41</v>
      </c>
      <c r="D134" s="2" t="s">
        <v>79</v>
      </c>
      <c r="E134" s="8">
        <v>46317</v>
      </c>
      <c r="F134" s="8">
        <v>46337</v>
      </c>
      <c r="G134" s="5">
        <f t="shared" si="4"/>
        <v>20</v>
      </c>
      <c r="H134" s="2" t="s">
        <v>14</v>
      </c>
      <c r="I134" s="2" t="b">
        <f t="shared" ca="1" si="5"/>
        <v>0</v>
      </c>
      <c r="J134" s="3" t="s">
        <v>139</v>
      </c>
    </row>
    <row r="135" spans="1:10">
      <c r="A135" s="2" t="s">
        <v>300</v>
      </c>
      <c r="B135" s="3" t="s">
        <v>301</v>
      </c>
      <c r="C135" s="2" t="s">
        <v>12</v>
      </c>
      <c r="D135" s="2" t="s">
        <v>13</v>
      </c>
      <c r="E135" s="8">
        <v>46285</v>
      </c>
      <c r="F135" s="8">
        <v>46294</v>
      </c>
      <c r="G135" s="5">
        <f t="shared" si="4"/>
        <v>9</v>
      </c>
      <c r="H135" s="2" t="s">
        <v>20</v>
      </c>
      <c r="I135" s="2" t="b">
        <f t="shared" ca="1" si="5"/>
        <v>1</v>
      </c>
      <c r="J135" s="3" t="s">
        <v>72</v>
      </c>
    </row>
    <row r="136" spans="1:10">
      <c r="A136" s="2" t="s">
        <v>302</v>
      </c>
      <c r="B136" s="3" t="s">
        <v>303</v>
      </c>
      <c r="C136" s="2" t="s">
        <v>12</v>
      </c>
      <c r="D136" s="2" t="s">
        <v>112</v>
      </c>
      <c r="E136" s="8">
        <v>46337</v>
      </c>
      <c r="F136" s="8">
        <v>46356</v>
      </c>
      <c r="G136" s="5">
        <f t="shared" si="4"/>
        <v>19</v>
      </c>
      <c r="H136" s="2" t="s">
        <v>37</v>
      </c>
      <c r="I136" s="2" t="b">
        <f t="shared" ca="1" si="5"/>
        <v>0</v>
      </c>
      <c r="J136" s="3" t="s">
        <v>77</v>
      </c>
    </row>
    <row r="137" spans="1:10">
      <c r="A137" s="2" t="s">
        <v>304</v>
      </c>
      <c r="B137" s="3" t="s">
        <v>305</v>
      </c>
      <c r="C137" s="2" t="s">
        <v>29</v>
      </c>
      <c r="D137" s="2" t="s">
        <v>87</v>
      </c>
      <c r="E137" s="8">
        <v>46297</v>
      </c>
      <c r="F137" s="8">
        <v>46301</v>
      </c>
      <c r="G137" s="5">
        <f t="shared" si="4"/>
        <v>4</v>
      </c>
      <c r="H137" s="2" t="s">
        <v>20</v>
      </c>
      <c r="I137" s="2" t="b">
        <f t="shared" ca="1" si="5"/>
        <v>1</v>
      </c>
      <c r="J137" s="3" t="s">
        <v>55</v>
      </c>
    </row>
    <row r="138" spans="1:10">
      <c r="A138" s="2" t="s">
        <v>306</v>
      </c>
      <c r="B138" s="3" t="s">
        <v>107</v>
      </c>
      <c r="C138" s="2" t="s">
        <v>29</v>
      </c>
      <c r="D138" s="2" t="s">
        <v>30</v>
      </c>
      <c r="E138" s="8">
        <v>46287</v>
      </c>
      <c r="F138" s="8">
        <v>46298</v>
      </c>
      <c r="G138" s="5">
        <f t="shared" si="4"/>
        <v>11</v>
      </c>
      <c r="H138" s="2" t="s">
        <v>14</v>
      </c>
      <c r="I138" s="2" t="b">
        <f t="shared" ca="1" si="5"/>
        <v>1</v>
      </c>
      <c r="J138" s="3" t="s">
        <v>145</v>
      </c>
    </row>
    <row r="139" spans="1:10">
      <c r="A139" s="2" t="s">
        <v>307</v>
      </c>
      <c r="B139" s="3" t="s">
        <v>63</v>
      </c>
      <c r="C139" s="2" t="s">
        <v>12</v>
      </c>
      <c r="D139" s="2" t="s">
        <v>36</v>
      </c>
      <c r="E139" s="8">
        <v>46337</v>
      </c>
      <c r="F139" s="8">
        <v>46356</v>
      </c>
      <c r="G139" s="5">
        <f t="shared" si="4"/>
        <v>19</v>
      </c>
      <c r="H139" s="2" t="s">
        <v>20</v>
      </c>
      <c r="I139" s="2" t="b">
        <f t="shared" ca="1" si="5"/>
        <v>0</v>
      </c>
      <c r="J139" s="3" t="s">
        <v>72</v>
      </c>
    </row>
    <row r="140" spans="1:10">
      <c r="A140" s="2" t="s">
        <v>308</v>
      </c>
      <c r="B140" s="3" t="s">
        <v>309</v>
      </c>
      <c r="C140" s="2" t="s">
        <v>50</v>
      </c>
      <c r="D140" s="2" t="s">
        <v>87</v>
      </c>
      <c r="E140" s="8">
        <v>46299</v>
      </c>
      <c r="F140" s="8">
        <v>46305</v>
      </c>
      <c r="G140" s="5">
        <f t="shared" si="4"/>
        <v>6</v>
      </c>
      <c r="H140" s="2" t="s">
        <v>37</v>
      </c>
      <c r="I140" s="2" t="b">
        <f t="shared" ca="1" si="5"/>
        <v>1</v>
      </c>
      <c r="J140" s="3" t="s">
        <v>77</v>
      </c>
    </row>
    <row r="141" spans="1:10">
      <c r="A141" s="2" t="s">
        <v>310</v>
      </c>
      <c r="B141" s="3" t="s">
        <v>17</v>
      </c>
      <c r="C141" s="2" t="s">
        <v>18</v>
      </c>
      <c r="D141" s="2" t="s">
        <v>42</v>
      </c>
      <c r="E141" s="8">
        <v>46334</v>
      </c>
      <c r="F141" s="8">
        <v>46343</v>
      </c>
      <c r="G141" s="5">
        <f t="shared" si="4"/>
        <v>9</v>
      </c>
      <c r="H141" s="2" t="s">
        <v>43</v>
      </c>
      <c r="I141" s="2" t="b">
        <f t="shared" ca="1" si="5"/>
        <v>0</v>
      </c>
      <c r="J141" s="3" t="s">
        <v>47</v>
      </c>
    </row>
    <row r="142" spans="1:10">
      <c r="A142" s="2" t="s">
        <v>311</v>
      </c>
      <c r="B142" s="3" t="s">
        <v>312</v>
      </c>
      <c r="C142" s="2" t="s">
        <v>12</v>
      </c>
      <c r="D142" s="2" t="s">
        <v>54</v>
      </c>
      <c r="E142" s="8">
        <v>46278</v>
      </c>
      <c r="F142" s="8">
        <v>46284</v>
      </c>
      <c r="G142" s="5">
        <f t="shared" si="4"/>
        <v>6</v>
      </c>
      <c r="H142" s="2" t="s">
        <v>43</v>
      </c>
      <c r="I142" s="2" t="b">
        <f t="shared" ca="1" si="5"/>
        <v>0</v>
      </c>
      <c r="J142" s="3" t="s">
        <v>47</v>
      </c>
    </row>
    <row r="143" spans="1:10">
      <c r="A143" s="2" t="s">
        <v>313</v>
      </c>
      <c r="B143" s="3" t="s">
        <v>314</v>
      </c>
      <c r="C143" s="2" t="s">
        <v>18</v>
      </c>
      <c r="D143" s="2" t="s">
        <v>79</v>
      </c>
      <c r="E143" s="8">
        <v>46272</v>
      </c>
      <c r="F143" s="8">
        <v>46285</v>
      </c>
      <c r="G143" s="5">
        <f t="shared" si="4"/>
        <v>13</v>
      </c>
      <c r="H143" s="2" t="s">
        <v>20</v>
      </c>
      <c r="I143" s="2" t="b">
        <f t="shared" ca="1" si="5"/>
        <v>1</v>
      </c>
      <c r="J143" s="3" t="s">
        <v>72</v>
      </c>
    </row>
    <row r="144" spans="1:10">
      <c r="A144" s="2" t="s">
        <v>315</v>
      </c>
      <c r="B144" s="3" t="s">
        <v>316</v>
      </c>
      <c r="C144" s="2" t="s">
        <v>29</v>
      </c>
      <c r="D144" s="2" t="s">
        <v>30</v>
      </c>
      <c r="E144" s="8">
        <v>46274</v>
      </c>
      <c r="F144" s="8">
        <v>46293</v>
      </c>
      <c r="G144" s="5">
        <f t="shared" si="4"/>
        <v>19</v>
      </c>
      <c r="H144" s="2" t="s">
        <v>20</v>
      </c>
      <c r="I144" s="2" t="b">
        <f t="shared" ca="1" si="5"/>
        <v>1</v>
      </c>
      <c r="J144" s="3" t="s">
        <v>115</v>
      </c>
    </row>
    <row r="145" spans="1:10">
      <c r="A145" s="2" t="s">
        <v>317</v>
      </c>
      <c r="B145" s="3" t="s">
        <v>318</v>
      </c>
      <c r="C145" s="2" t="s">
        <v>29</v>
      </c>
      <c r="D145" s="2" t="s">
        <v>13</v>
      </c>
      <c r="E145" s="8">
        <v>46279</v>
      </c>
      <c r="F145" s="8">
        <v>46301</v>
      </c>
      <c r="G145" s="5">
        <f t="shared" si="4"/>
        <v>22</v>
      </c>
      <c r="H145" s="2" t="s">
        <v>37</v>
      </c>
      <c r="I145" s="2" t="b">
        <f t="shared" ca="1" si="5"/>
        <v>1</v>
      </c>
      <c r="J145" s="3" t="s">
        <v>38</v>
      </c>
    </row>
    <row r="146" spans="1:10">
      <c r="A146" s="2" t="s">
        <v>319</v>
      </c>
      <c r="B146" s="3" t="s">
        <v>157</v>
      </c>
      <c r="C146" s="2" t="s">
        <v>50</v>
      </c>
      <c r="D146" s="2" t="s">
        <v>54</v>
      </c>
      <c r="E146" s="8">
        <v>46286</v>
      </c>
      <c r="F146" s="8">
        <v>46292</v>
      </c>
      <c r="G146" s="5">
        <f t="shared" si="4"/>
        <v>6</v>
      </c>
      <c r="H146" s="2" t="s">
        <v>20</v>
      </c>
      <c r="I146" s="2" t="b">
        <f t="shared" ca="1" si="5"/>
        <v>1</v>
      </c>
      <c r="J146" s="3" t="s">
        <v>31</v>
      </c>
    </row>
    <row r="147" spans="1:10">
      <c r="A147" s="2" t="s">
        <v>320</v>
      </c>
      <c r="B147" s="3" t="s">
        <v>236</v>
      </c>
      <c r="C147" s="2" t="s">
        <v>41</v>
      </c>
      <c r="D147" s="2" t="s">
        <v>13</v>
      </c>
      <c r="E147" s="8">
        <v>46335</v>
      </c>
      <c r="F147" s="8">
        <v>46355</v>
      </c>
      <c r="G147" s="5">
        <f t="shared" si="4"/>
        <v>20</v>
      </c>
      <c r="H147" s="2" t="s">
        <v>43</v>
      </c>
      <c r="I147" s="2" t="b">
        <f t="shared" ca="1" si="5"/>
        <v>0</v>
      </c>
      <c r="J147" s="3" t="s">
        <v>47</v>
      </c>
    </row>
    <row r="148" spans="1:10">
      <c r="A148" s="2" t="s">
        <v>321</v>
      </c>
      <c r="B148" s="3" t="s">
        <v>294</v>
      </c>
      <c r="C148" s="2" t="s">
        <v>41</v>
      </c>
      <c r="D148" s="2" t="s">
        <v>87</v>
      </c>
      <c r="E148" s="8">
        <v>46299</v>
      </c>
      <c r="F148" s="8">
        <v>46306</v>
      </c>
      <c r="G148" s="5">
        <f t="shared" si="4"/>
        <v>7</v>
      </c>
      <c r="H148" s="2" t="s">
        <v>14</v>
      </c>
      <c r="I148" s="2" t="b">
        <f t="shared" ca="1" si="5"/>
        <v>0</v>
      </c>
      <c r="J148" s="3" t="s">
        <v>139</v>
      </c>
    </row>
    <row r="149" spans="1:10">
      <c r="A149" s="2" t="s">
        <v>322</v>
      </c>
      <c r="B149" s="3" t="s">
        <v>134</v>
      </c>
      <c r="C149" s="2" t="s">
        <v>24</v>
      </c>
      <c r="D149" s="2" t="s">
        <v>54</v>
      </c>
      <c r="E149" s="8">
        <v>46313</v>
      </c>
      <c r="F149" s="8">
        <v>46333</v>
      </c>
      <c r="G149" s="5">
        <f t="shared" si="4"/>
        <v>20</v>
      </c>
      <c r="H149" s="2" t="s">
        <v>20</v>
      </c>
      <c r="I149" s="2" t="b">
        <f t="shared" ca="1" si="5"/>
        <v>0</v>
      </c>
      <c r="J149" s="3" t="s">
        <v>26</v>
      </c>
    </row>
    <row r="150" spans="1:10">
      <c r="A150" s="2" t="s">
        <v>323</v>
      </c>
      <c r="B150" s="3" t="s">
        <v>151</v>
      </c>
      <c r="C150" s="2" t="s">
        <v>50</v>
      </c>
      <c r="D150" s="2" t="s">
        <v>144</v>
      </c>
      <c r="E150" s="8">
        <v>46303</v>
      </c>
      <c r="F150" s="8">
        <v>46327</v>
      </c>
      <c r="G150" s="5">
        <f t="shared" si="4"/>
        <v>24</v>
      </c>
      <c r="H150" s="2" t="s">
        <v>20</v>
      </c>
      <c r="I150" s="2" t="b">
        <f t="shared" ca="1" si="5"/>
        <v>0</v>
      </c>
      <c r="J150" s="3" t="s">
        <v>55</v>
      </c>
    </row>
    <row r="151" spans="1:10">
      <c r="A151" s="2" t="s">
        <v>324</v>
      </c>
      <c r="B151" s="3" t="s">
        <v>128</v>
      </c>
      <c r="C151" s="2" t="s">
        <v>12</v>
      </c>
      <c r="D151" s="2" t="s">
        <v>36</v>
      </c>
      <c r="E151" s="8">
        <v>46321</v>
      </c>
      <c r="F151" s="8">
        <v>46326</v>
      </c>
      <c r="G151" s="5">
        <f t="shared" si="4"/>
        <v>5</v>
      </c>
      <c r="H151" s="2" t="s">
        <v>20</v>
      </c>
      <c r="I151" s="2" t="b">
        <f t="shared" ca="1" si="5"/>
        <v>0</v>
      </c>
      <c r="J151" s="3" t="s">
        <v>31</v>
      </c>
    </row>
    <row r="152" spans="1:10">
      <c r="A152" s="2" t="s">
        <v>325</v>
      </c>
      <c r="B152" s="3" t="s">
        <v>326</v>
      </c>
      <c r="C152" s="2" t="s">
        <v>18</v>
      </c>
      <c r="D152" s="2" t="s">
        <v>42</v>
      </c>
      <c r="E152" s="8">
        <v>46319</v>
      </c>
      <c r="F152" s="8">
        <v>46331</v>
      </c>
      <c r="G152" s="5">
        <f t="shared" si="4"/>
        <v>12</v>
      </c>
      <c r="H152" s="2" t="s">
        <v>43</v>
      </c>
      <c r="I152" s="2" t="b">
        <f t="shared" ca="1" si="5"/>
        <v>0</v>
      </c>
      <c r="J152" s="3" t="s">
        <v>61</v>
      </c>
    </row>
    <row r="153" spans="1:10">
      <c r="A153" s="2" t="s">
        <v>327</v>
      </c>
      <c r="B153" s="3" t="s">
        <v>263</v>
      </c>
      <c r="C153" s="2" t="s">
        <v>50</v>
      </c>
      <c r="D153" s="2" t="s">
        <v>54</v>
      </c>
      <c r="E153" s="8">
        <v>46306</v>
      </c>
      <c r="F153" s="8">
        <v>46310</v>
      </c>
      <c r="G153" s="5">
        <f t="shared" si="4"/>
        <v>4</v>
      </c>
      <c r="H153" s="2" t="s">
        <v>20</v>
      </c>
      <c r="I153" s="2" t="b">
        <f t="shared" ca="1" si="5"/>
        <v>0</v>
      </c>
      <c r="J153" s="3" t="s">
        <v>55</v>
      </c>
    </row>
    <row r="154" spans="1:10">
      <c r="A154" s="2" t="s">
        <v>328</v>
      </c>
      <c r="B154" s="3" t="s">
        <v>329</v>
      </c>
      <c r="C154" s="2" t="s">
        <v>18</v>
      </c>
      <c r="D154" s="2" t="s">
        <v>58</v>
      </c>
      <c r="E154" s="8">
        <v>46350</v>
      </c>
      <c r="F154" s="8">
        <v>46352</v>
      </c>
      <c r="G154" s="5">
        <f t="shared" si="4"/>
        <v>2</v>
      </c>
      <c r="H154" s="2" t="s">
        <v>20</v>
      </c>
      <c r="I154" s="2" t="b">
        <f t="shared" ca="1" si="5"/>
        <v>0</v>
      </c>
      <c r="J154" s="3" t="s">
        <v>21</v>
      </c>
    </row>
    <row r="155" spans="1:10">
      <c r="A155" s="2" t="s">
        <v>330</v>
      </c>
      <c r="B155" s="3" t="s">
        <v>76</v>
      </c>
      <c r="C155" s="2" t="s">
        <v>41</v>
      </c>
      <c r="D155" s="2" t="s">
        <v>42</v>
      </c>
      <c r="E155" s="8">
        <v>46307</v>
      </c>
      <c r="F155" s="8">
        <v>46316</v>
      </c>
      <c r="G155" s="5">
        <f t="shared" si="4"/>
        <v>9</v>
      </c>
      <c r="H155" s="2" t="s">
        <v>20</v>
      </c>
      <c r="I155" s="2" t="b">
        <f t="shared" ca="1" si="5"/>
        <v>0</v>
      </c>
      <c r="J155" s="3" t="s">
        <v>21</v>
      </c>
    </row>
    <row r="156" spans="1:10">
      <c r="A156" s="2" t="s">
        <v>331</v>
      </c>
      <c r="B156" s="3" t="s">
        <v>268</v>
      </c>
      <c r="C156" s="2" t="s">
        <v>53</v>
      </c>
      <c r="D156" s="2" t="s">
        <v>58</v>
      </c>
      <c r="E156" s="8">
        <v>46325</v>
      </c>
      <c r="F156" s="8">
        <v>46337</v>
      </c>
      <c r="G156" s="5">
        <f t="shared" si="4"/>
        <v>12</v>
      </c>
      <c r="H156" s="2" t="s">
        <v>14</v>
      </c>
      <c r="I156" s="2" t="b">
        <f t="shared" ca="1" si="5"/>
        <v>0</v>
      </c>
      <c r="J156" s="3" t="s">
        <v>15</v>
      </c>
    </row>
    <row r="157" spans="1:10">
      <c r="A157" s="2" t="s">
        <v>332</v>
      </c>
      <c r="B157" s="3" t="s">
        <v>333</v>
      </c>
      <c r="C157" s="2" t="s">
        <v>41</v>
      </c>
      <c r="D157" s="2" t="s">
        <v>58</v>
      </c>
      <c r="E157" s="8">
        <v>46323</v>
      </c>
      <c r="F157" s="8">
        <v>46346</v>
      </c>
      <c r="G157" s="5">
        <f t="shared" si="4"/>
        <v>23</v>
      </c>
      <c r="H157" s="2" t="s">
        <v>43</v>
      </c>
      <c r="I157" s="2" t="b">
        <f t="shared" ca="1" si="5"/>
        <v>0</v>
      </c>
      <c r="J157" s="3" t="s">
        <v>126</v>
      </c>
    </row>
    <row r="158" spans="1:10">
      <c r="A158" s="2" t="s">
        <v>334</v>
      </c>
      <c r="B158" s="3" t="s">
        <v>335</v>
      </c>
      <c r="C158" s="2" t="s">
        <v>29</v>
      </c>
      <c r="D158" s="2" t="s">
        <v>25</v>
      </c>
      <c r="E158" s="8">
        <v>46307</v>
      </c>
      <c r="F158" s="8">
        <v>46318</v>
      </c>
      <c r="G158" s="5">
        <f t="shared" si="4"/>
        <v>11</v>
      </c>
      <c r="H158" s="2" t="s">
        <v>20</v>
      </c>
      <c r="I158" s="2" t="b">
        <f t="shared" ca="1" si="5"/>
        <v>0</v>
      </c>
      <c r="J158" s="3" t="s">
        <v>115</v>
      </c>
    </row>
    <row r="159" spans="1:10">
      <c r="A159" s="2" t="s">
        <v>336</v>
      </c>
      <c r="B159" s="3" t="s">
        <v>337</v>
      </c>
      <c r="C159" s="2" t="s">
        <v>18</v>
      </c>
      <c r="D159" s="2" t="s">
        <v>79</v>
      </c>
      <c r="E159" s="8">
        <v>46280</v>
      </c>
      <c r="F159" s="8">
        <v>46298</v>
      </c>
      <c r="G159" s="5">
        <f t="shared" si="4"/>
        <v>18</v>
      </c>
      <c r="H159" s="2" t="s">
        <v>43</v>
      </c>
      <c r="I159" s="2" t="b">
        <f t="shared" ca="1" si="5"/>
        <v>0</v>
      </c>
      <c r="J159" s="3" t="s">
        <v>47</v>
      </c>
    </row>
    <row r="160" spans="1:10">
      <c r="A160" s="2" t="s">
        <v>338</v>
      </c>
      <c r="B160" s="3" t="s">
        <v>339</v>
      </c>
      <c r="C160" s="2" t="s">
        <v>29</v>
      </c>
      <c r="D160" s="2" t="s">
        <v>87</v>
      </c>
      <c r="E160" s="8">
        <v>46330</v>
      </c>
      <c r="F160" s="8">
        <v>46342</v>
      </c>
      <c r="G160" s="5">
        <f t="shared" si="4"/>
        <v>12</v>
      </c>
      <c r="H160" s="2" t="s">
        <v>43</v>
      </c>
      <c r="I160" s="2" t="b">
        <f t="shared" ca="1" si="5"/>
        <v>0</v>
      </c>
      <c r="J160" s="3" t="s">
        <v>61</v>
      </c>
    </row>
    <row r="161" spans="1:10">
      <c r="A161" s="2" t="s">
        <v>340</v>
      </c>
      <c r="B161" s="3" t="s">
        <v>341</v>
      </c>
      <c r="C161" s="2" t="s">
        <v>50</v>
      </c>
      <c r="D161" s="2" t="s">
        <v>87</v>
      </c>
      <c r="E161" s="8">
        <v>46312</v>
      </c>
      <c r="F161" s="8">
        <v>46328</v>
      </c>
      <c r="G161" s="5">
        <f t="shared" si="4"/>
        <v>16</v>
      </c>
      <c r="H161" s="2" t="s">
        <v>14</v>
      </c>
      <c r="I161" s="2" t="b">
        <f t="shared" ca="1" si="5"/>
        <v>0</v>
      </c>
      <c r="J161" s="3" t="s">
        <v>15</v>
      </c>
    </row>
    <row r="162" spans="1:10">
      <c r="A162" s="2" t="s">
        <v>342</v>
      </c>
      <c r="B162" s="3" t="s">
        <v>343</v>
      </c>
      <c r="C162" s="2" t="s">
        <v>41</v>
      </c>
      <c r="D162" s="2" t="s">
        <v>79</v>
      </c>
      <c r="E162" s="8">
        <v>46271</v>
      </c>
      <c r="F162" s="8">
        <v>46289</v>
      </c>
      <c r="G162" s="5">
        <f t="shared" si="4"/>
        <v>18</v>
      </c>
      <c r="H162" s="2" t="s">
        <v>20</v>
      </c>
      <c r="I162" s="2" t="b">
        <f t="shared" ca="1" si="5"/>
        <v>1</v>
      </c>
      <c r="J162" s="3" t="s">
        <v>115</v>
      </c>
    </row>
    <row r="163" spans="1:10">
      <c r="A163" s="2" t="s">
        <v>344</v>
      </c>
      <c r="B163" s="3" t="s">
        <v>345</v>
      </c>
      <c r="C163" s="2" t="s">
        <v>18</v>
      </c>
      <c r="D163" s="2" t="s">
        <v>36</v>
      </c>
      <c r="E163" s="8">
        <v>46314</v>
      </c>
      <c r="F163" s="8">
        <v>46323</v>
      </c>
      <c r="G163" s="5">
        <f t="shared" si="4"/>
        <v>9</v>
      </c>
      <c r="H163" s="2" t="s">
        <v>37</v>
      </c>
      <c r="I163" s="2" t="b">
        <f t="shared" ca="1" si="5"/>
        <v>0</v>
      </c>
      <c r="J163" s="3" t="s">
        <v>77</v>
      </c>
    </row>
    <row r="164" spans="1:10">
      <c r="A164" s="2" t="s">
        <v>346</v>
      </c>
      <c r="B164" s="3" t="s">
        <v>347</v>
      </c>
      <c r="C164" s="2" t="s">
        <v>12</v>
      </c>
      <c r="D164" s="2" t="s">
        <v>25</v>
      </c>
      <c r="E164" s="8">
        <v>46342</v>
      </c>
      <c r="F164" s="8">
        <v>46347</v>
      </c>
      <c r="G164" s="5">
        <f t="shared" si="4"/>
        <v>5</v>
      </c>
      <c r="H164" s="2" t="s">
        <v>43</v>
      </c>
      <c r="I164" s="2" t="b">
        <f t="shared" ca="1" si="5"/>
        <v>0</v>
      </c>
      <c r="J164" s="3" t="s">
        <v>47</v>
      </c>
    </row>
    <row r="165" spans="1:10">
      <c r="A165" s="2" t="s">
        <v>348</v>
      </c>
      <c r="B165" s="3" t="s">
        <v>349</v>
      </c>
      <c r="C165" s="2" t="s">
        <v>24</v>
      </c>
      <c r="D165" s="2" t="s">
        <v>87</v>
      </c>
      <c r="E165" s="8">
        <v>46281</v>
      </c>
      <c r="F165" s="8">
        <v>46289</v>
      </c>
      <c r="G165" s="5">
        <f t="shared" si="4"/>
        <v>8</v>
      </c>
      <c r="H165" s="2" t="s">
        <v>20</v>
      </c>
      <c r="I165" s="2" t="b">
        <f t="shared" ca="1" si="5"/>
        <v>1</v>
      </c>
      <c r="J165" s="3" t="s">
        <v>115</v>
      </c>
    </row>
    <row r="166" spans="1:10">
      <c r="A166" s="2" t="s">
        <v>350</v>
      </c>
      <c r="B166" s="3" t="s">
        <v>248</v>
      </c>
      <c r="C166" s="2" t="s">
        <v>53</v>
      </c>
      <c r="D166" s="2" t="s">
        <v>112</v>
      </c>
      <c r="E166" s="8">
        <v>46297</v>
      </c>
      <c r="F166" s="8">
        <v>46314</v>
      </c>
      <c r="G166" s="5">
        <f t="shared" si="4"/>
        <v>17</v>
      </c>
      <c r="H166" s="2" t="s">
        <v>43</v>
      </c>
      <c r="I166" s="2" t="b">
        <f t="shared" ca="1" si="5"/>
        <v>0</v>
      </c>
      <c r="J166" s="3" t="s">
        <v>126</v>
      </c>
    </row>
    <row r="167" spans="1:10">
      <c r="A167" s="2" t="s">
        <v>351</v>
      </c>
      <c r="B167" s="3" t="s">
        <v>352</v>
      </c>
      <c r="C167" s="2" t="s">
        <v>12</v>
      </c>
      <c r="D167" s="2" t="s">
        <v>13</v>
      </c>
      <c r="E167" s="8">
        <v>46317</v>
      </c>
      <c r="F167" s="8">
        <v>46335</v>
      </c>
      <c r="G167" s="5">
        <f t="shared" si="4"/>
        <v>18</v>
      </c>
      <c r="H167" s="2" t="s">
        <v>20</v>
      </c>
      <c r="I167" s="2" t="b">
        <f t="shared" ca="1" si="5"/>
        <v>0</v>
      </c>
      <c r="J167" s="3" t="s">
        <v>72</v>
      </c>
    </row>
    <row r="168" spans="1:10">
      <c r="A168" s="2" t="s">
        <v>353</v>
      </c>
      <c r="B168" s="3" t="s">
        <v>23</v>
      </c>
      <c r="C168" s="2" t="s">
        <v>24</v>
      </c>
      <c r="D168" s="2" t="s">
        <v>112</v>
      </c>
      <c r="E168" s="8">
        <v>46273</v>
      </c>
      <c r="F168" s="8">
        <v>46288</v>
      </c>
      <c r="G168" s="5">
        <f t="shared" si="4"/>
        <v>15</v>
      </c>
      <c r="H168" s="2" t="s">
        <v>20</v>
      </c>
      <c r="I168" s="2" t="b">
        <f t="shared" ca="1" si="5"/>
        <v>1</v>
      </c>
      <c r="J168" s="3" t="s">
        <v>21</v>
      </c>
    </row>
    <row r="169" spans="1:10">
      <c r="A169" s="2" t="s">
        <v>354</v>
      </c>
      <c r="B169" s="3" t="s">
        <v>170</v>
      </c>
      <c r="C169" s="2" t="s">
        <v>50</v>
      </c>
      <c r="D169" s="2" t="s">
        <v>42</v>
      </c>
      <c r="E169" s="8">
        <v>46329</v>
      </c>
      <c r="F169" s="8">
        <v>46348</v>
      </c>
      <c r="G169" s="5">
        <f t="shared" si="4"/>
        <v>19</v>
      </c>
      <c r="H169" s="2" t="s">
        <v>20</v>
      </c>
      <c r="I169" s="2" t="b">
        <f t="shared" ca="1" si="5"/>
        <v>0</v>
      </c>
      <c r="J169" s="3" t="s">
        <v>26</v>
      </c>
    </row>
    <row r="170" spans="1:10">
      <c r="A170" s="2" t="s">
        <v>355</v>
      </c>
      <c r="B170" s="3" t="s">
        <v>356</v>
      </c>
      <c r="C170" s="2" t="s">
        <v>18</v>
      </c>
      <c r="D170" s="2" t="s">
        <v>79</v>
      </c>
      <c r="E170" s="8">
        <v>46283</v>
      </c>
      <c r="F170" s="8">
        <v>46302</v>
      </c>
      <c r="G170" s="5">
        <f t="shared" si="4"/>
        <v>19</v>
      </c>
      <c r="H170" s="2" t="s">
        <v>43</v>
      </c>
      <c r="I170" s="2" t="b">
        <f t="shared" ca="1" si="5"/>
        <v>0</v>
      </c>
      <c r="J170" s="3" t="s">
        <v>126</v>
      </c>
    </row>
    <row r="171" spans="1:10">
      <c r="A171" s="2" t="s">
        <v>357</v>
      </c>
      <c r="B171" s="3" t="s">
        <v>358</v>
      </c>
      <c r="C171" s="2" t="s">
        <v>50</v>
      </c>
      <c r="D171" s="2" t="s">
        <v>112</v>
      </c>
      <c r="E171" s="8">
        <v>46298</v>
      </c>
      <c r="F171" s="8">
        <v>46311</v>
      </c>
      <c r="G171" s="5">
        <f t="shared" si="4"/>
        <v>13</v>
      </c>
      <c r="H171" s="2" t="s">
        <v>37</v>
      </c>
      <c r="I171" s="2" t="b">
        <f t="shared" ca="1" si="5"/>
        <v>0</v>
      </c>
      <c r="J171" s="3" t="s">
        <v>359</v>
      </c>
    </row>
    <row r="172" spans="1:10">
      <c r="A172" s="2" t="s">
        <v>360</v>
      </c>
      <c r="B172" s="3" t="s">
        <v>361</v>
      </c>
      <c r="C172" s="2" t="s">
        <v>41</v>
      </c>
      <c r="D172" s="2" t="s">
        <v>19</v>
      </c>
      <c r="E172" s="8">
        <v>46295</v>
      </c>
      <c r="F172" s="8">
        <v>46309</v>
      </c>
      <c r="G172" s="5">
        <f t="shared" si="4"/>
        <v>14</v>
      </c>
      <c r="H172" s="2" t="s">
        <v>20</v>
      </c>
      <c r="I172" s="2" t="b">
        <f t="shared" ca="1" si="5"/>
        <v>0</v>
      </c>
      <c r="J172" s="3" t="s">
        <v>72</v>
      </c>
    </row>
    <row r="173" spans="1:10">
      <c r="A173" s="2" t="s">
        <v>362</v>
      </c>
      <c r="B173" s="3" t="s">
        <v>238</v>
      </c>
      <c r="C173" s="2" t="s">
        <v>24</v>
      </c>
      <c r="D173" s="2" t="s">
        <v>25</v>
      </c>
      <c r="E173" s="8">
        <v>46271</v>
      </c>
      <c r="F173" s="8">
        <v>46275</v>
      </c>
      <c r="G173" s="5">
        <f t="shared" si="4"/>
        <v>4</v>
      </c>
      <c r="H173" s="2" t="s">
        <v>20</v>
      </c>
      <c r="I173" s="2" t="b">
        <f t="shared" ca="1" si="5"/>
        <v>1</v>
      </c>
      <c r="J173" s="3" t="s">
        <v>115</v>
      </c>
    </row>
    <row r="174" spans="1:10">
      <c r="A174" s="2" t="s">
        <v>363</v>
      </c>
      <c r="B174" s="3" t="s">
        <v>364</v>
      </c>
      <c r="C174" s="2" t="s">
        <v>53</v>
      </c>
      <c r="D174" s="2" t="s">
        <v>30</v>
      </c>
      <c r="E174" s="8">
        <v>46324</v>
      </c>
      <c r="F174" s="8">
        <v>46335</v>
      </c>
      <c r="G174" s="5">
        <f t="shared" si="4"/>
        <v>11</v>
      </c>
      <c r="H174" s="2" t="s">
        <v>20</v>
      </c>
      <c r="I174" s="2" t="b">
        <f t="shared" ca="1" si="5"/>
        <v>0</v>
      </c>
      <c r="J174" s="3" t="s">
        <v>31</v>
      </c>
    </row>
    <row r="175" spans="1:10">
      <c r="A175" s="2" t="s">
        <v>365</v>
      </c>
      <c r="B175" s="3" t="s">
        <v>117</v>
      </c>
      <c r="C175" s="2" t="s">
        <v>50</v>
      </c>
      <c r="D175" s="2" t="s">
        <v>144</v>
      </c>
      <c r="E175" s="8">
        <v>46342</v>
      </c>
      <c r="F175" s="8">
        <v>46353</v>
      </c>
      <c r="G175" s="5">
        <f t="shared" si="4"/>
        <v>11</v>
      </c>
      <c r="H175" s="2" t="s">
        <v>20</v>
      </c>
      <c r="I175" s="2" t="b">
        <f t="shared" ca="1" si="5"/>
        <v>0</v>
      </c>
      <c r="J175" s="3" t="s">
        <v>26</v>
      </c>
    </row>
    <row r="176" spans="1:10">
      <c r="A176" s="2" t="s">
        <v>366</v>
      </c>
      <c r="B176" s="3" t="s">
        <v>367</v>
      </c>
      <c r="C176" s="2" t="s">
        <v>41</v>
      </c>
      <c r="D176" s="2" t="s">
        <v>87</v>
      </c>
      <c r="E176" s="8">
        <v>46328</v>
      </c>
      <c r="F176" s="8">
        <v>46348</v>
      </c>
      <c r="G176" s="5">
        <f t="shared" si="4"/>
        <v>20</v>
      </c>
      <c r="H176" s="2" t="s">
        <v>14</v>
      </c>
      <c r="I176" s="2" t="b">
        <f t="shared" ca="1" si="5"/>
        <v>0</v>
      </c>
      <c r="J176" s="3" t="s">
        <v>139</v>
      </c>
    </row>
    <row r="177" spans="1:10">
      <c r="A177" s="2" t="s">
        <v>368</v>
      </c>
      <c r="B177" s="3" t="s">
        <v>335</v>
      </c>
      <c r="C177" s="2" t="s">
        <v>29</v>
      </c>
      <c r="D177" s="2" t="s">
        <v>144</v>
      </c>
      <c r="E177" s="8">
        <v>46325</v>
      </c>
      <c r="F177" s="8">
        <v>46340</v>
      </c>
      <c r="G177" s="5">
        <f t="shared" si="4"/>
        <v>15</v>
      </c>
      <c r="H177" s="2" t="s">
        <v>20</v>
      </c>
      <c r="I177" s="2" t="b">
        <f t="shared" ca="1" si="5"/>
        <v>0</v>
      </c>
      <c r="J177" s="3" t="s">
        <v>31</v>
      </c>
    </row>
    <row r="178" spans="1:10">
      <c r="A178" s="2" t="s">
        <v>369</v>
      </c>
      <c r="B178" s="3" t="s">
        <v>370</v>
      </c>
      <c r="C178" s="2" t="s">
        <v>24</v>
      </c>
      <c r="D178" s="2" t="s">
        <v>54</v>
      </c>
      <c r="E178" s="8">
        <v>46274</v>
      </c>
      <c r="F178" s="8">
        <v>46285</v>
      </c>
      <c r="G178" s="5">
        <f t="shared" si="4"/>
        <v>11</v>
      </c>
      <c r="H178" s="2" t="s">
        <v>20</v>
      </c>
      <c r="I178" s="2" t="b">
        <f t="shared" ca="1" si="5"/>
        <v>1</v>
      </c>
      <c r="J178" s="3" t="s">
        <v>26</v>
      </c>
    </row>
    <row r="179" spans="1:10">
      <c r="A179" s="2" t="s">
        <v>371</v>
      </c>
      <c r="B179" s="3" t="s">
        <v>164</v>
      </c>
      <c r="C179" s="2" t="s">
        <v>29</v>
      </c>
      <c r="D179" s="2" t="s">
        <v>79</v>
      </c>
      <c r="E179" s="8">
        <v>46298</v>
      </c>
      <c r="F179" s="8">
        <v>46308</v>
      </c>
      <c r="G179" s="5">
        <f t="shared" si="4"/>
        <v>10</v>
      </c>
      <c r="H179" s="2" t="s">
        <v>20</v>
      </c>
      <c r="I179" s="2" t="b">
        <f t="shared" ca="1" si="5"/>
        <v>0</v>
      </c>
      <c r="J179" s="3" t="s">
        <v>26</v>
      </c>
    </row>
    <row r="180" spans="1:10">
      <c r="A180" s="2" t="s">
        <v>372</v>
      </c>
      <c r="B180" s="3" t="s">
        <v>172</v>
      </c>
      <c r="C180" s="2" t="s">
        <v>24</v>
      </c>
      <c r="D180" s="2" t="s">
        <v>36</v>
      </c>
      <c r="E180" s="8">
        <v>46343</v>
      </c>
      <c r="F180" s="8">
        <v>46345</v>
      </c>
      <c r="G180" s="5">
        <f t="shared" si="4"/>
        <v>2</v>
      </c>
      <c r="H180" s="2" t="s">
        <v>37</v>
      </c>
      <c r="I180" s="2" t="b">
        <f t="shared" ca="1" si="5"/>
        <v>0</v>
      </c>
      <c r="J180" s="3" t="s">
        <v>359</v>
      </c>
    </row>
    <row r="181" spans="1:10">
      <c r="A181" s="2" t="s">
        <v>373</v>
      </c>
      <c r="B181" s="3" t="s">
        <v>67</v>
      </c>
      <c r="C181" s="2" t="s">
        <v>12</v>
      </c>
      <c r="D181" s="2" t="s">
        <v>30</v>
      </c>
      <c r="E181" s="8">
        <v>46287</v>
      </c>
      <c r="F181" s="8">
        <v>46309</v>
      </c>
      <c r="G181" s="5">
        <f t="shared" si="4"/>
        <v>22</v>
      </c>
      <c r="H181" s="2" t="s">
        <v>20</v>
      </c>
      <c r="I181" s="2" t="b">
        <f t="shared" ca="1" si="5"/>
        <v>0</v>
      </c>
      <c r="J181" s="3" t="s">
        <v>26</v>
      </c>
    </row>
  </sheetData>
  <autoFilter ref="A1:J18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DC3E5E-C26D-4ED9-B00A-6E500B220DAB}">
          <x14:formula1>
            <xm:f>_xlfn.ANCHORARRAY(Names!$A$1)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E53A-5D10-467C-9F07-DC09D0812EEA}">
  <dimension ref="B8:L12"/>
  <sheetViews>
    <sheetView showGridLines="0" tabSelected="1" workbookViewId="0">
      <selection activeCell="P27" sqref="P27"/>
    </sheetView>
  </sheetViews>
  <sheetFormatPr defaultRowHeight="15"/>
  <cols>
    <col min="2" max="2" width="8.7109375" customWidth="1"/>
    <col min="3" max="3" width="35.7109375" customWidth="1"/>
    <col min="4" max="4" width="3.7109375" customWidth="1"/>
    <col min="5" max="5" width="8.7109375" customWidth="1"/>
    <col min="6" max="6" width="35.7109375" customWidth="1"/>
    <col min="7" max="7" width="3.7109375" customWidth="1"/>
    <col min="8" max="8" width="8.7109375" customWidth="1"/>
    <col min="9" max="9" width="35.7109375" customWidth="1"/>
    <col min="10" max="10" width="3.7109375" customWidth="1"/>
    <col min="11" max="11" width="8.7109375" customWidth="1"/>
    <col min="12" max="12" width="35.7109375" customWidth="1"/>
  </cols>
  <sheetData>
    <row r="8" spans="2:12" ht="26.25" customHeight="1">
      <c r="B8" s="11"/>
      <c r="C8" s="10" t="s">
        <v>374</v>
      </c>
      <c r="E8" s="15"/>
      <c r="F8" s="13" t="s">
        <v>43</v>
      </c>
      <c r="H8" s="18"/>
      <c r="I8" s="19" t="s">
        <v>20</v>
      </c>
      <c r="K8" s="16"/>
      <c r="L8" s="21" t="s">
        <v>14</v>
      </c>
    </row>
    <row r="9" spans="2:12" ht="39.75" customHeight="1">
      <c r="B9" s="11"/>
      <c r="C9" s="12">
        <f>Names!B22</f>
        <v>179</v>
      </c>
      <c r="E9" s="15"/>
      <c r="F9" s="14">
        <f>Names!B18</f>
        <v>51</v>
      </c>
      <c r="H9" s="18"/>
      <c r="I9" s="20">
        <f>Names!B19</f>
        <v>82</v>
      </c>
      <c r="K9" s="16"/>
      <c r="L9" s="17">
        <f>Names!B20</f>
        <v>28</v>
      </c>
    </row>
    <row r="10" spans="2:12" ht="8.25" customHeight="1">
      <c r="B10" s="11"/>
      <c r="C10" s="11"/>
      <c r="E10" s="15"/>
      <c r="F10" s="15"/>
      <c r="H10" s="18"/>
      <c r="I10" s="18"/>
      <c r="K10" s="16"/>
      <c r="L10" s="16"/>
    </row>
    <row r="12" spans="2:12" ht="14.25" customHeight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66C1-03EC-41E2-A842-89AB7B026925}">
  <dimension ref="A1:F54"/>
  <sheetViews>
    <sheetView topLeftCell="A29" workbookViewId="0">
      <selection activeCell="M41" sqref="M41"/>
    </sheetView>
  </sheetViews>
  <sheetFormatPr defaultRowHeight="15"/>
  <cols>
    <col min="1" max="1" width="21.5703125" bestFit="1" customWidth="1"/>
    <col min="2" max="2" width="18.140625" bestFit="1" customWidth="1"/>
    <col min="3" max="3" width="11" bestFit="1" customWidth="1"/>
    <col min="4" max="4" width="11.42578125" bestFit="1" customWidth="1"/>
    <col min="5" max="5" width="8.42578125" bestFit="1" customWidth="1"/>
    <col min="6" max="6" width="11.7109375" bestFit="1" customWidth="1"/>
    <col min="7" max="7" width="13.42578125" bestFit="1" customWidth="1"/>
    <col min="8" max="8" width="5.85546875" bestFit="1" customWidth="1"/>
    <col min="9" max="9" width="16.7109375" bestFit="1" customWidth="1"/>
    <col min="10" max="10" width="10.28515625" bestFit="1" customWidth="1"/>
    <col min="11" max="11" width="5.85546875" bestFit="1" customWidth="1"/>
    <col min="12" max="12" width="13.5703125" bestFit="1" customWidth="1"/>
    <col min="13" max="13" width="11.7109375" bestFit="1" customWidth="1"/>
  </cols>
  <sheetData>
    <row r="1" spans="1:1">
      <c r="A1" t="str" cm="1">
        <f t="array" ref="A1:A12">_xlfn.UNIQUE('Work Items'!D2:D181)</f>
        <v>Ethan Brooks</v>
      </c>
    </row>
    <row r="2" spans="1:1">
      <c r="A2" t="str">
        <v>Sophie Taylor</v>
      </c>
    </row>
    <row r="3" spans="1:1">
      <c r="A3" t="str">
        <v>Noah Williams</v>
      </c>
    </row>
    <row r="4" spans="1:1">
      <c r="A4" t="str">
        <v>Mia Nguyen</v>
      </c>
    </row>
    <row r="5" spans="1:1">
      <c r="A5" t="str">
        <v>Oliver Chen</v>
      </c>
    </row>
    <row r="6" spans="1:1">
      <c r="A6" t="str">
        <v>Lucas Brown</v>
      </c>
    </row>
    <row r="7" spans="1:1">
      <c r="A7" t="str">
        <v>Ava Thompson</v>
      </c>
    </row>
    <row r="8" spans="1:1">
      <c r="A8" t="str">
        <v>Jack Patel</v>
      </c>
    </row>
    <row r="9" spans="1:1">
      <c r="A9" t="str">
        <v>Priya Shah</v>
      </c>
    </row>
    <row r="10" spans="1:1">
      <c r="A10" t="str">
        <v>Amelia Wilson</v>
      </c>
    </row>
    <row r="11" spans="1:1">
      <c r="A11" t="str">
        <v>Isabella Martin</v>
      </c>
    </row>
    <row r="12" spans="1:1">
      <c r="A12" t="str">
        <v>Liam Carter</v>
      </c>
    </row>
    <row r="17" spans="1:2">
      <c r="A17" t="s">
        <v>7</v>
      </c>
      <c r="B17" t="s">
        <v>375</v>
      </c>
    </row>
    <row r="18" spans="1:2">
      <c r="A18" t="s">
        <v>43</v>
      </c>
      <c r="B18">
        <f>COUNTIF('Work Items'!H2:H181,Names!A18)</f>
        <v>51</v>
      </c>
    </row>
    <row r="19" spans="1:2">
      <c r="A19" t="s">
        <v>20</v>
      </c>
      <c r="B19">
        <f>COUNTIF('Work Items'!H3:H182,Names!A19)</f>
        <v>82</v>
      </c>
    </row>
    <row r="20" spans="1:2">
      <c r="A20" t="s">
        <v>376</v>
      </c>
      <c r="B20">
        <f>COUNTIF('Work Items'!H4:H182,Names!A20)</f>
        <v>28</v>
      </c>
    </row>
    <row r="21" spans="1:2">
      <c r="A21" t="s">
        <v>37</v>
      </c>
      <c r="B21">
        <f>COUNTIF('Work Items'!H5:H182,Names!A21)</f>
        <v>18</v>
      </c>
    </row>
    <row r="22" spans="1:2">
      <c r="A22" t="s">
        <v>377</v>
      </c>
      <c r="B22">
        <f>SUM(B18:B21)</f>
        <v>179</v>
      </c>
    </row>
    <row r="26" spans="1:2">
      <c r="A26" s="22" t="s">
        <v>7</v>
      </c>
      <c r="B26" t="s">
        <v>378</v>
      </c>
    </row>
    <row r="27" spans="1:2">
      <c r="A27" t="s">
        <v>43</v>
      </c>
      <c r="B27" s="23">
        <v>51</v>
      </c>
    </row>
    <row r="28" spans="1:2">
      <c r="A28" t="s">
        <v>20</v>
      </c>
      <c r="B28" s="23">
        <v>82</v>
      </c>
    </row>
    <row r="29" spans="1:2">
      <c r="A29" t="s">
        <v>14</v>
      </c>
      <c r="B29" s="23">
        <v>29</v>
      </c>
    </row>
    <row r="30" spans="1:2">
      <c r="A30" t="s">
        <v>37</v>
      </c>
      <c r="B30" s="23">
        <v>18</v>
      </c>
    </row>
    <row r="31" spans="1:2">
      <c r="A31" t="s">
        <v>379</v>
      </c>
      <c r="B31" s="23">
        <v>180</v>
      </c>
    </row>
    <row r="35" spans="1:6">
      <c r="A35" s="22" t="s">
        <v>2</v>
      </c>
      <c r="B35" t="s">
        <v>378</v>
      </c>
    </row>
    <row r="36" spans="1:6">
      <c r="A36" t="s">
        <v>53</v>
      </c>
      <c r="B36" s="23">
        <v>19</v>
      </c>
    </row>
    <row r="37" spans="1:6">
      <c r="A37" t="s">
        <v>29</v>
      </c>
      <c r="B37" s="23">
        <v>20</v>
      </c>
    </row>
    <row r="38" spans="1:6">
      <c r="A38" t="s">
        <v>12</v>
      </c>
      <c r="B38" s="23">
        <v>28</v>
      </c>
    </row>
    <row r="39" spans="1:6">
      <c r="A39" t="s">
        <v>18</v>
      </c>
      <c r="B39" s="23">
        <v>27</v>
      </c>
    </row>
    <row r="40" spans="1:6">
      <c r="A40" t="s">
        <v>41</v>
      </c>
      <c r="B40" s="23">
        <v>26</v>
      </c>
    </row>
    <row r="41" spans="1:6">
      <c r="A41" t="s">
        <v>50</v>
      </c>
      <c r="B41" s="23">
        <v>28</v>
      </c>
    </row>
    <row r="42" spans="1:6">
      <c r="A42" t="s">
        <v>24</v>
      </c>
      <c r="B42" s="23">
        <v>32</v>
      </c>
    </row>
    <row r="43" spans="1:6">
      <c r="A43" t="s">
        <v>379</v>
      </c>
      <c r="B43" s="23">
        <v>180</v>
      </c>
    </row>
    <row r="47" spans="1:6">
      <c r="A47" s="24" t="s">
        <v>378</v>
      </c>
      <c r="B47" s="22" t="s">
        <v>7</v>
      </c>
    </row>
    <row r="48" spans="1:6">
      <c r="A48" s="22" t="s">
        <v>3</v>
      </c>
      <c r="B48" t="s">
        <v>43</v>
      </c>
      <c r="C48" t="s">
        <v>20</v>
      </c>
      <c r="D48" t="s">
        <v>14</v>
      </c>
      <c r="E48" t="s">
        <v>37</v>
      </c>
      <c r="F48" t="s">
        <v>379</v>
      </c>
    </row>
    <row r="49" spans="1:6">
      <c r="A49" t="s">
        <v>87</v>
      </c>
      <c r="B49" s="23">
        <v>9</v>
      </c>
      <c r="C49" s="23">
        <v>6</v>
      </c>
      <c r="D49" s="23">
        <v>5</v>
      </c>
      <c r="E49" s="23">
        <v>2</v>
      </c>
      <c r="F49" s="23">
        <v>22</v>
      </c>
    </row>
    <row r="50" spans="1:6">
      <c r="A50" t="s">
        <v>13</v>
      </c>
      <c r="B50" s="23">
        <v>5</v>
      </c>
      <c r="C50" s="23">
        <v>11</v>
      </c>
      <c r="D50" s="23">
        <v>3</v>
      </c>
      <c r="E50" s="23">
        <v>2</v>
      </c>
      <c r="F50" s="23">
        <v>21</v>
      </c>
    </row>
    <row r="51" spans="1:6">
      <c r="A51" t="s">
        <v>144</v>
      </c>
      <c r="B51" s="23">
        <v>4</v>
      </c>
      <c r="C51" s="23">
        <v>7</v>
      </c>
      <c r="D51" s="23">
        <v>5</v>
      </c>
      <c r="E51" s="23">
        <v>1</v>
      </c>
      <c r="F51" s="23">
        <v>17</v>
      </c>
    </row>
    <row r="52" spans="1:6">
      <c r="A52" t="s">
        <v>79</v>
      </c>
      <c r="B52" s="23">
        <v>8</v>
      </c>
      <c r="C52" s="23">
        <v>6</v>
      </c>
      <c r="D52" s="23">
        <v>3</v>
      </c>
      <c r="E52" s="23"/>
      <c r="F52" s="23">
        <v>17</v>
      </c>
    </row>
    <row r="53" spans="1:6">
      <c r="A53" t="s">
        <v>112</v>
      </c>
      <c r="B53" s="23">
        <v>4</v>
      </c>
      <c r="C53" s="23">
        <v>7</v>
      </c>
      <c r="D53" s="23">
        <v>2</v>
      </c>
      <c r="E53" s="23">
        <v>4</v>
      </c>
      <c r="F53" s="23">
        <v>17</v>
      </c>
    </row>
    <row r="54" spans="1:6">
      <c r="A54" t="s">
        <v>379</v>
      </c>
      <c r="B54" s="23">
        <v>30</v>
      </c>
      <c r="C54" s="23">
        <v>37</v>
      </c>
      <c r="D54" s="23">
        <v>18</v>
      </c>
      <c r="E54" s="23">
        <v>9</v>
      </c>
      <c r="F54" s="23">
        <v>94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2026-10-11T03:34:42Z</dcterms:created>
  <dcterms:modified xsi:type="dcterms:W3CDTF">2026-10-11T07:31:30Z</dcterms:modified>
  <cp:category/>
  <cp:contentStatus/>
</cp:coreProperties>
</file>